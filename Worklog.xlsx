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AppData\Local\Programs\maze_generator-solver\"/>
    </mc:Choice>
  </mc:AlternateContent>
  <xr:revisionPtr revIDLastSave="0" documentId="13_ncr:1_{A05B2ADA-9D39-43DB-ABC9-8C6DC63DCD65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Weekly_Summary" sheetId="1" r:id="rId1"/>
    <sheet name="Work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1" l="1" a="1"/>
  <c r="E31" i="1" s="1"/>
  <c r="D31" i="1" a="1"/>
  <c r="D31" i="1" s="1"/>
  <c r="C31" i="1" a="1"/>
  <c r="C31" i="1" s="1"/>
  <c r="B31" i="1" a="1"/>
  <c r="B31" i="1" s="1"/>
  <c r="F30" i="1" a="1"/>
  <c r="F30" i="1" s="1"/>
  <c r="E30" i="1" a="1"/>
  <c r="E30" i="1" s="1"/>
  <c r="D30" i="1" a="1"/>
  <c r="D30" i="1" s="1"/>
  <c r="C30" i="1" a="1"/>
  <c r="C30" i="1" s="1"/>
  <c r="B30" i="1" a="1"/>
  <c r="B30" i="1" s="1"/>
  <c r="E29" i="1" a="1"/>
  <c r="E29" i="1" s="1"/>
  <c r="D29" i="1" a="1"/>
  <c r="D29" i="1" s="1"/>
  <c r="C29" i="1" a="1"/>
  <c r="C29" i="1" s="1"/>
  <c r="F28" i="1" a="1"/>
  <c r="F28" i="1" s="1"/>
  <c r="E28" i="1" a="1"/>
  <c r="E28" i="1" s="1"/>
  <c r="D28" i="1" a="1"/>
  <c r="D28" i="1" s="1"/>
  <c r="C28" i="1" a="1"/>
  <c r="C28" i="1" s="1"/>
  <c r="F27" i="1" a="1"/>
  <c r="F27" i="1" s="1"/>
  <c r="E27" i="1" a="1"/>
  <c r="E27" i="1" s="1"/>
  <c r="D27" i="1" a="1"/>
  <c r="D27" i="1" s="1"/>
  <c r="C27" i="1" a="1"/>
  <c r="C27" i="1" s="1"/>
  <c r="F26" i="1" a="1"/>
  <c r="F26" i="1" s="1"/>
  <c r="E26" i="1" a="1"/>
  <c r="E26" i="1" s="1"/>
  <c r="D26" i="1" a="1"/>
  <c r="D26" i="1" s="1"/>
  <c r="C26" i="1" a="1"/>
  <c r="C26" i="1" s="1"/>
  <c r="F25" i="1" a="1"/>
  <c r="F25" i="1" s="1"/>
  <c r="E25" i="1" a="1"/>
  <c r="E25" i="1"/>
  <c r="D25" i="1" a="1"/>
  <c r="D25" i="1" s="1"/>
  <c r="B25" i="1" a="1"/>
  <c r="B25" i="1"/>
  <c r="F24" i="1" a="1"/>
  <c r="F24" i="1" s="1"/>
  <c r="E24" i="1" a="1"/>
  <c r="E24" i="1" s="1"/>
  <c r="D24" i="1" a="1"/>
  <c r="D24" i="1" s="1"/>
  <c r="B24" i="1" a="1"/>
  <c r="B24" i="1"/>
  <c r="F23" i="1" a="1"/>
  <c r="F23" i="1" s="1"/>
  <c r="E23" i="1" a="1"/>
  <c r="E23" i="1"/>
  <c r="D23" i="1" a="1"/>
  <c r="D23" i="1" s="1"/>
  <c r="C23" i="1" a="1"/>
  <c r="C23" i="1"/>
  <c r="B23" i="1" a="1"/>
  <c r="B23" i="1" s="1"/>
  <c r="F22" i="1" a="1"/>
  <c r="F22" i="1"/>
  <c r="E22" i="1" a="1"/>
  <c r="E22" i="1" s="1"/>
  <c r="D22" i="1" a="1"/>
  <c r="D22" i="1" s="1"/>
  <c r="C22" i="1" a="1"/>
  <c r="C22" i="1"/>
  <c r="B22" i="1" a="1"/>
  <c r="B22" i="1" s="1"/>
  <c r="F21" i="1" a="1"/>
  <c r="F21" i="1" s="1"/>
  <c r="E21" i="1" a="1"/>
  <c r="E21" i="1" s="1"/>
  <c r="D21" i="1" a="1"/>
  <c r="D21" i="1" s="1"/>
  <c r="C21" i="1" a="1"/>
  <c r="C21" i="1"/>
  <c r="B21" i="1" a="1"/>
  <c r="B21" i="1" s="1"/>
  <c r="F20" i="1" a="1"/>
  <c r="F20" i="1" s="1"/>
  <c r="E20" i="1" a="1"/>
  <c r="E20" i="1" s="1"/>
  <c r="D20" i="1" a="1"/>
  <c r="D20" i="1" s="1"/>
  <c r="C20" i="1" a="1"/>
  <c r="C20" i="1" s="1"/>
  <c r="B20" i="1" a="1"/>
  <c r="B20" i="1" s="1"/>
  <c r="D15" i="1"/>
  <c r="D14" i="1"/>
  <c r="D13" i="1"/>
  <c r="D12" i="1"/>
  <c r="F8" i="1"/>
  <c r="D8" i="1"/>
  <c r="B8" i="1"/>
  <c r="I11" i="2"/>
  <c r="D11" i="2"/>
  <c r="I10" i="2"/>
  <c r="D10" i="2"/>
  <c r="I9" i="2"/>
  <c r="D9" i="2"/>
  <c r="I8" i="2"/>
  <c r="D8" i="2"/>
  <c r="I7" i="2"/>
  <c r="D7" i="2"/>
  <c r="I6" i="2"/>
  <c r="D6" i="2"/>
  <c r="I5" i="2"/>
  <c r="D5" i="2"/>
  <c r="I4" i="2"/>
  <c r="D4" i="2"/>
  <c r="I3" i="2"/>
  <c r="D3" i="2"/>
  <c r="I2" i="2"/>
  <c r="D2" i="2"/>
  <c r="D16" i="1" l="1"/>
  <c r="E15" i="1"/>
  <c r="E14" i="1"/>
  <c r="E13" i="1"/>
  <c r="E12" i="1"/>
  <c r="C24" i="1" a="1"/>
  <c r="C24" i="1" s="1"/>
  <c r="B27" i="1" a="1"/>
  <c r="B27" i="1" s="1"/>
  <c r="B26" i="1" a="1"/>
  <c r="B26" i="1" s="1"/>
  <c r="F31" i="1" a="1"/>
  <c r="F31" i="1" s="1"/>
  <c r="C25" i="1" a="1"/>
  <c r="C25" i="1" s="1"/>
  <c r="B28" i="1" a="1"/>
  <c r="B28" i="1" s="1"/>
  <c r="B29" i="1" a="1"/>
  <c r="B29" i="1" s="1"/>
  <c r="F29" i="1" a="1"/>
  <c r="F29" i="1" s="1"/>
  <c r="E16" i="1" l="1"/>
</calcChain>
</file>

<file path=xl/sharedStrings.xml><?xml version="1.0" encoding="utf-8"?>
<sst xmlns="http://schemas.openxmlformats.org/spreadsheetml/2006/main" count="124" uniqueCount="92">
  <si>
    <t>任务描述与进展</t>
  </si>
  <si>
    <t>日期</t>
  </si>
  <si>
    <t>开始时间</t>
  </si>
  <si>
    <t>工时(h)</t>
  </si>
  <si>
    <t>结束时间</t>
  </si>
  <si>
    <t>产出物/交付件</t>
  </si>
  <si>
    <t>任务模块/类别</t>
  </si>
  <si>
    <t>项目名称</t>
  </si>
  <si>
    <t>周别(ISO)</t>
  </si>
  <si>
    <t>优化多线程并行处理算法，提升计算吞吐量</t>
  </si>
  <si>
    <t>09:00</t>
  </si>
  <si>
    <t>12:30</t>
  </si>
  <si>
    <t>产出核心算法模块 code PR #102</t>
  </si>
  <si>
    <t>核心开发</t>
  </si>
  <si>
    <t>系统重构项目</t>
  </si>
  <si>
    <t>编写并发边界条件与鲁棒性测试用例</t>
  </si>
  <si>
    <t>2026-07-27</t>
  </si>
  <si>
    <t>13:30</t>
  </si>
  <si>
    <t>18:00</t>
  </si>
  <si>
    <t>完成测试套件，覆盖率提升至88%</t>
  </si>
  <si>
    <t>单元测试</t>
  </si>
  <si>
    <t>与设施部对接传感器布置方案与现场环境规约</t>
  </si>
  <si>
    <t>2026-07-28</t>
  </si>
  <si>
    <t>09:30</t>
  </si>
  <si>
    <t>12:00</t>
  </si>
  <si>
    <t>确定4号厂房监测点位拓扑图</t>
  </si>
  <si>
    <t>方案评审</t>
  </si>
  <si>
    <t>厂区振动监测</t>
  </si>
  <si>
    <t>接入加速度传感器信号并校准1/3倍频程数据</t>
  </si>
  <si>
    <t>13:00</t>
  </si>
  <si>
    <t>17:30</t>
  </si>
  <si>
    <t>输出传感器频响校准报告.pdf</t>
  </si>
  <si>
    <t>硬件调试</t>
  </si>
  <si>
    <t>梳理设备故障应急响应流程与告警触发机制</t>
  </si>
  <si>
    <t>2026-07-29</t>
  </si>
  <si>
    <t>完成应急响应流程图V1.2</t>
  </si>
  <si>
    <t>需求分析</t>
  </si>
  <si>
    <t>自动化运维平台</t>
  </si>
  <si>
    <t>诊断高频数据采集卡顿问题，定位内存泄露点</t>
  </si>
  <si>
    <t>内存泄露修复补丁 PR #105</t>
  </si>
  <si>
    <t>性能调优</t>
  </si>
  <si>
    <t>编写MATLAB自动化数据分析脚本，生成频谱图</t>
  </si>
  <si>
    <t>2026-07-30</t>
  </si>
  <si>
    <t>MATLAB频谱分析处理工具包</t>
  </si>
  <si>
    <t>数据分析</t>
  </si>
  <si>
    <t>参加部门周度例会及跨团队技术交底会</t>
  </si>
  <si>
    <t>14:00</t>
  </si>
  <si>
    <t>16:30</t>
  </si>
  <si>
    <t>周会会议纪要</t>
  </si>
  <si>
    <t>例会/沟通</t>
  </si>
  <si>
    <t>日常运维与会议</t>
  </si>
  <si>
    <t>开发工单自动派发 RESTful API 接口</t>
  </si>
  <si>
    <t>2026-07-31</t>
  </si>
  <si>
    <t>API 接口文档与测试用例</t>
  </si>
  <si>
    <t>接口开发</t>
  </si>
  <si>
    <t>整理系统重构架构设计说明书与部署手册</t>
  </si>
  <si>
    <t>17:00</t>
  </si>
  <si>
    <t>《系统重构技术架构文档 v1.0》</t>
  </si>
  <si>
    <t>文档编写</t>
  </si>
  <si>
    <t>每周工作总结与工时统计看板 (Weekly Work Summary)</t>
  </si>
  <si>
    <t>自动按周维度（ISO Week）汇总各项目工时投入与关键交付产出物</t>
  </si>
  <si>
    <t>当前选择周别：</t>
  </si>
  <si>
    <t>2026-W31</t>
  </si>
  <si>
    <t>本周总工时 (Hours)</t>
  </si>
  <si>
    <t>涉及项目数 (Projects)</t>
  </si>
  <si>
    <t>完成事项数 (Tasks)</t>
  </si>
  <si>
    <t>一、按项目汇总工时占比</t>
  </si>
  <si>
    <t>核心任务模块</t>
  </si>
  <si>
    <t>投入工时 (h)</t>
  </si>
  <si>
    <t>工时占比</t>
  </si>
  <si>
    <t>核心开发、单元测试、性能调优、文档</t>
  </si>
  <si>
    <t>方案评审、硬件调试、数据分析</t>
  </si>
  <si>
    <t>需求分析、接口开发</t>
  </si>
  <si>
    <t>部门例会、跨团队沟通与日常排错</t>
  </si>
  <si>
    <t>合计 / Total</t>
  </si>
  <si>
    <t>-</t>
  </si>
  <si>
    <t>二、本周项目关键进展与主要产出物</t>
  </si>
  <si>
    <t>工作描述与进展</t>
  </si>
  <si>
    <t>主要产出物 / 交付件</t>
  </si>
  <si>
    <t>三、下周工作计划 (Next Week Plan)</t>
  </si>
  <si>
    <t>序号</t>
  </si>
  <si>
    <t>拟推进项目</t>
  </si>
  <si>
    <t>计划工作内容与目标</t>
  </si>
  <si>
    <t>预计工时(h)</t>
  </si>
  <si>
    <t>优先级</t>
  </si>
  <si>
    <t>完成多线程模块与主流水线的集成测试，准备Staging环境部署</t>
  </si>
  <si>
    <t>High</t>
  </si>
  <si>
    <t>完成现场传感器数据采集联调，编写结构微振动分析报告</t>
  </si>
  <si>
    <t>对接事件告警推送接口，完成工单流转逻辑验证</t>
  </si>
  <si>
    <t>Medium</t>
  </si>
  <si>
    <t>日常运维与团队</t>
  </si>
  <si>
    <t>参与设备预防性维护评审会，整理相关技术文档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</si>
</sst>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0.0%"/>
    <numFmt numFmtId="178" formatCode="yyyy\-mm\-dd;@"/>
    <numFmt numFmtId="179" formatCode="h:mm;@"/>
    <numFmt numFmtId="180" formatCode="0.0\ &quot;h&quot;"/>
  </numFmts>
  <fonts count="11">
    <font>
      <sz val="11"/>
      <color theme="1"/>
      <name val="宋体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6"/>
      <color rgb="FF1F4E79"/>
      <name val="Calibri"/>
      <family val="2"/>
    </font>
    <font>
      <i/>
      <sz val="10"/>
      <color rgb="FF595959"/>
      <name val="Calibri"/>
      <family val="2"/>
    </font>
    <font>
      <b/>
      <sz val="11"/>
      <name val="Calibri"/>
      <family val="2"/>
    </font>
    <font>
      <b/>
      <sz val="11"/>
      <color rgb="FF1F4E79"/>
      <name val="Calibri"/>
      <family val="2"/>
    </font>
    <font>
      <sz val="9"/>
      <color rgb="FF595959"/>
      <name val="Calibri"/>
      <family val="2"/>
    </font>
    <font>
      <b/>
      <sz val="18"/>
      <color rgb="FF1F4E79"/>
      <name val="Calibri"/>
      <family val="2"/>
    </font>
    <font>
      <b/>
      <sz val="12"/>
      <color rgb="FF1F4E79"/>
      <name val="Calibri"/>
      <family val="2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5F9"/>
        <bgColor rgb="FFF2F5F9"/>
      </patternFill>
    </fill>
    <fill>
      <patternFill patternType="solid">
        <fgColor rgb="FFD9E1F2"/>
        <bgColor rgb="FFD9E1F2"/>
      </patternFill>
    </fill>
    <fill>
      <patternFill patternType="solid">
        <fgColor rgb="FFF8F9FA"/>
        <bgColor rgb="FFF8F9FA"/>
      </patternFill>
    </fill>
    <fill>
      <patternFill patternType="solid">
        <fgColor rgb="FF2F5597"/>
        <bgColor rgb="FF2F5597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5" fillId="0" borderId="0" xfId="0" applyFont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9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right" vertical="center"/>
    </xf>
    <xf numFmtId="177" fontId="2" fillId="3" borderId="1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center" vertical="center"/>
    </xf>
    <xf numFmtId="176" fontId="5" fillId="4" borderId="2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178" fontId="1" fillId="2" borderId="1" xfId="0" applyNumberFormat="1" applyFont="1" applyFill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2" fillId="3" borderId="1" xfId="0" applyNumberFormat="1" applyFont="1" applyFill="1" applyBorder="1" applyAlignment="1">
      <alignment horizontal="center" vertical="center"/>
    </xf>
    <xf numFmtId="178" fontId="0" fillId="0" borderId="0" xfId="0" applyNumberFormat="1"/>
    <xf numFmtId="179" fontId="1" fillId="2" borderId="1" xfId="0" applyNumberFormat="1" applyFont="1" applyFill="1" applyBorder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179" fontId="2" fillId="3" borderId="1" xfId="0" applyNumberFormat="1" applyFont="1" applyFill="1" applyBorder="1" applyAlignment="1">
      <alignment horizontal="center" vertical="center"/>
    </xf>
    <xf numFmtId="179" fontId="0" fillId="0" borderId="0" xfId="0" applyNumberFormat="1"/>
    <xf numFmtId="176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0" fontId="0" fillId="0" borderId="3" xfId="0" applyBorder="1"/>
    <xf numFmtId="0" fontId="7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180" fontId="8" fillId="5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zh-CN" altLang="en-US"/>
              <a:t>项目工时分布占比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Weekly_Summary!$D$11</c:f>
              <c:strCache>
                <c:ptCount val="1"/>
                <c:pt idx="0">
                  <c:v>投入工时 (h)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Weekly_Summary!$B$12:$B$15</c:f>
              <c:strCache>
                <c:ptCount val="4"/>
                <c:pt idx="0">
                  <c:v>系统重构项目</c:v>
                </c:pt>
                <c:pt idx="1">
                  <c:v>厂区振动监测</c:v>
                </c:pt>
                <c:pt idx="2">
                  <c:v>自动化运维平台</c:v>
                </c:pt>
                <c:pt idx="3">
                  <c:v>日常运维与会议</c:v>
                </c:pt>
              </c:strCache>
            </c:strRef>
          </c:cat>
          <c:val>
            <c:numRef>
              <c:f>Weekly_Summary!$D$12:$D$15</c:f>
              <c:numCache>
                <c:formatCode>0.0</c:formatCode>
                <c:ptCount val="4"/>
                <c:pt idx="0">
                  <c:v>16</c:v>
                </c:pt>
                <c:pt idx="1">
                  <c:v>10</c:v>
                </c:pt>
                <c:pt idx="2">
                  <c:v>6</c:v>
                </c:pt>
                <c:pt idx="3">
                  <c:v>2.4999999999999991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8-4EA7-BC0E-E0CA54D7A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61231</xdr:colOff>
      <xdr:row>10</xdr:row>
      <xdr:rowOff>27215</xdr:rowOff>
    </xdr:from>
    <xdr:ext cx="504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8"/>
  <sheetViews>
    <sheetView zoomScale="70" zoomScaleNormal="70" workbookViewId="0">
      <pane ySplit="5" topLeftCell="A18" activePane="bottomLeft" state="frozen"/>
      <selection pane="bottomLeft" activeCell="F30" sqref="F30"/>
    </sheetView>
  </sheetViews>
  <sheetFormatPr defaultRowHeight="13.5"/>
  <cols>
    <col min="1" max="1" width="3" customWidth="1"/>
    <col min="2" max="2" width="18" customWidth="1"/>
    <col min="3" max="3" width="28" customWidth="1"/>
    <col min="4" max="4" width="49.6640625" customWidth="1"/>
    <col min="5" max="5" width="32" customWidth="1"/>
    <col min="6" max="6" width="14" customWidth="1"/>
    <col min="7" max="7" width="12" customWidth="1"/>
    <col min="8" max="8" width="3" customWidth="1"/>
  </cols>
  <sheetData>
    <row r="2" spans="2:8" ht="21" customHeight="1">
      <c r="B2" s="32" t="s">
        <v>59</v>
      </c>
      <c r="C2" s="33"/>
      <c r="D2" s="33"/>
      <c r="E2" s="33"/>
      <c r="F2" s="33"/>
      <c r="G2" s="33"/>
      <c r="H2" s="33"/>
    </row>
    <row r="3" spans="2:8">
      <c r="B3" s="34" t="s">
        <v>60</v>
      </c>
      <c r="C3" s="33"/>
      <c r="D3" s="33"/>
      <c r="E3" s="33"/>
      <c r="F3" s="33"/>
      <c r="G3" s="33"/>
      <c r="H3" s="33"/>
    </row>
    <row r="5" spans="2:8" ht="14.25" customHeight="1">
      <c r="B5" s="1" t="s">
        <v>61</v>
      </c>
      <c r="C5" s="2" t="s">
        <v>62</v>
      </c>
    </row>
    <row r="7" spans="2:8">
      <c r="B7" s="31" t="s">
        <v>63</v>
      </c>
      <c r="C7" s="30"/>
      <c r="D7" s="31" t="s">
        <v>64</v>
      </c>
      <c r="E7" s="30"/>
      <c r="F7" s="31" t="s">
        <v>65</v>
      </c>
      <c r="G7" s="30"/>
    </row>
    <row r="8" spans="2:8" ht="23.25" customHeight="1">
      <c r="B8" s="35">
        <f>SUMIFS(Worklog!D:D, Worklog!I:I, C5)</f>
        <v>34.5</v>
      </c>
      <c r="C8" s="30"/>
      <c r="D8" s="29">
        <f>COUNTA(B12:B15)</f>
        <v>4</v>
      </c>
      <c r="E8" s="30"/>
      <c r="F8" s="29">
        <f>COUNTIFS(Worklog!I:I, C5)</f>
        <v>10</v>
      </c>
      <c r="G8" s="30"/>
    </row>
    <row r="10" spans="2:8" ht="15.75" customHeight="1">
      <c r="B10" s="3" t="s">
        <v>66</v>
      </c>
    </row>
    <row r="11" spans="2:8" ht="24" customHeight="1">
      <c r="B11" s="4" t="s">
        <v>7</v>
      </c>
      <c r="C11" s="4" t="s">
        <v>67</v>
      </c>
      <c r="D11" s="4" t="s">
        <v>68</v>
      </c>
      <c r="E11" s="4" t="s">
        <v>69</v>
      </c>
    </row>
    <row r="12" spans="2:8" ht="20" customHeight="1">
      <c r="B12" s="5" t="s">
        <v>14</v>
      </c>
      <c r="C12" s="5" t="s">
        <v>70</v>
      </c>
      <c r="D12" s="6">
        <f>SUMIFS(Worklog!D:D, Worklog!H:H, B12, Worklog!I:I, $C$5)</f>
        <v>16</v>
      </c>
      <c r="E12" s="7">
        <f>IF($B$8&gt;0, D12/$B$8, 0)</f>
        <v>0.46376811594202899</v>
      </c>
    </row>
    <row r="13" spans="2:8" ht="20" customHeight="1">
      <c r="B13" s="8" t="s">
        <v>27</v>
      </c>
      <c r="C13" s="8" t="s">
        <v>71</v>
      </c>
      <c r="D13" s="9">
        <f>SUMIFS(Worklog!D:D, Worklog!H:H, B13, Worklog!I:I, $C$5)</f>
        <v>10</v>
      </c>
      <c r="E13" s="10">
        <f>IF($B$8&gt;0, D13/$B$8, 0)</f>
        <v>0.28985507246376813</v>
      </c>
    </row>
    <row r="14" spans="2:8" ht="20" customHeight="1">
      <c r="B14" s="5" t="s">
        <v>37</v>
      </c>
      <c r="C14" s="5" t="s">
        <v>72</v>
      </c>
      <c r="D14" s="6">
        <f>SUMIFS(Worklog!D:D, Worklog!H:H, B14, Worklog!I:I, $C$5)</f>
        <v>6</v>
      </c>
      <c r="E14" s="7">
        <f>IF($B$8&gt;0, D14/$B$8, 0)</f>
        <v>0.17391304347826086</v>
      </c>
    </row>
    <row r="15" spans="2:8" ht="20" customHeight="1">
      <c r="B15" s="8" t="s">
        <v>50</v>
      </c>
      <c r="C15" s="8" t="s">
        <v>73</v>
      </c>
      <c r="D15" s="9">
        <f>SUMIFS(Worklog!D:D, Worklog!H:H, B15, Worklog!I:I, $C$5)</f>
        <v>2.4999999999999991</v>
      </c>
      <c r="E15" s="10">
        <f>IF($B$8&gt;0, D15/$B$8, 0)</f>
        <v>7.2463768115942004E-2</v>
      </c>
    </row>
    <row r="16" spans="2:8" ht="14.25" customHeight="1">
      <c r="B16" s="11" t="s">
        <v>74</v>
      </c>
      <c r="C16" s="11" t="s">
        <v>75</v>
      </c>
      <c r="D16" s="12">
        <f>SUM(D12:D15)</f>
        <v>34.5</v>
      </c>
      <c r="E16" s="13">
        <f>SUM(E12:E15)</f>
        <v>1</v>
      </c>
    </row>
    <row r="18" spans="2:6" ht="15.75" customHeight="1">
      <c r="B18" s="3" t="s">
        <v>76</v>
      </c>
    </row>
    <row r="19" spans="2:6" ht="24" customHeight="1">
      <c r="B19" s="14" t="s">
        <v>1</v>
      </c>
      <c r="C19" s="14" t="s">
        <v>7</v>
      </c>
      <c r="D19" s="14" t="s">
        <v>77</v>
      </c>
      <c r="E19" s="14" t="s">
        <v>78</v>
      </c>
      <c r="F19" s="14" t="s">
        <v>3</v>
      </c>
    </row>
    <row r="20" spans="2:6" ht="22.05" customHeight="1">
      <c r="B20" s="20">
        <f t="array" ref="B20">IFERROR(INDEX(Worklog!B:B, SMALL(IF(Worklog!I:I=$C$5, ROW(Worklog!I:I)), ROW(1:1))), "")</f>
        <v>46230</v>
      </c>
      <c r="C20" s="5" t="str">
        <f t="array" ref="C20">IFERROR(INDEX(Worklog!H:H, SMALL(IF(Worklog!I:I=$C$5, ROW(Worklog!I:I)), ROW(1:1))), "")</f>
        <v>系统重构项目</v>
      </c>
      <c r="D20" s="16" t="str">
        <f t="array" ref="D20">IFERROR(INDEX(Worklog!A:A, SMALL(IF(Worklog!I:I=$C$5, ROW(Worklog!I:I)), ROW(1:1))), "")</f>
        <v>优化多线程并行处理算法，提升计算吞吐量</v>
      </c>
      <c r="E20" s="16" t="str">
        <f t="array" ref="E20">IFERROR(INDEX(Worklog!F:F, SMALL(IF(Worklog!I:I=$C$5, ROW(Worklog!I:I)), ROW(1:1))), "")</f>
        <v>产出核心算法模块 code PR #102</v>
      </c>
      <c r="F20" s="6">
        <f t="array" ref="F20">IFERROR(INDEX(Worklog!D:D, SMALL(IF(Worklog!I:I=$C$5, ROW(Worklog!I:I)), ROW(1:1))), "")</f>
        <v>3.5000000000000009</v>
      </c>
    </row>
    <row r="21" spans="2:6" ht="22.05" customHeight="1">
      <c r="B21" s="20" t="str">
        <f t="array" ref="B21">IFERROR(INDEX(Worklog!B:B, SMALL(IF(Worklog!I:I=$C$5, ROW(Worklog!I:I)), ROW(2:2))), "")</f>
        <v>2026-07-27</v>
      </c>
      <c r="C21" s="5" t="str">
        <f t="array" ref="C21">IFERROR(INDEX(Worklog!H:H, SMALL(IF(Worklog!I:I=$C$5, ROW(Worklog!I:I)), ROW(2:2))), "")</f>
        <v>系统重构项目</v>
      </c>
      <c r="D21" s="16" t="str">
        <f t="array" ref="D21">IFERROR(INDEX(Worklog!A:A, SMALL(IF(Worklog!I:I=$C$5, ROW(Worklog!I:I)), ROW(2:2))), "")</f>
        <v>编写并发边界条件与鲁棒性测试用例</v>
      </c>
      <c r="E21" s="16" t="str">
        <f t="array" ref="E21">IFERROR(INDEX(Worklog!F:F, SMALL(IF(Worklog!I:I=$C$5, ROW(Worklog!I:I)), ROW(2:2))), "")</f>
        <v>完成测试套件，覆盖率提升至88%</v>
      </c>
      <c r="F21" s="6">
        <f t="array" ref="F21">IFERROR(INDEX(Worklog!D:D, SMALL(IF(Worklog!I:I=$C$5, ROW(Worklog!I:I)), ROW(2:2))), "")</f>
        <v>4.5</v>
      </c>
    </row>
    <row r="22" spans="2:6" ht="22.05" customHeight="1">
      <c r="B22" s="20" t="str">
        <f t="array" ref="B22">IFERROR(INDEX(Worklog!B:B, SMALL(IF(Worklog!I:I=$C$5, ROW(Worklog!I:I)), ROW(3:3))), "")</f>
        <v>2026-07-28</v>
      </c>
      <c r="C22" s="5" t="str">
        <f t="array" ref="C22">IFERROR(INDEX(Worklog!H:H, SMALL(IF(Worklog!I:I=$C$5, ROW(Worklog!I:I)), ROW(3:3))), "")</f>
        <v>厂区振动监测</v>
      </c>
      <c r="D22" s="16" t="str">
        <f t="array" ref="D22">IFERROR(INDEX(Worklog!A:A, SMALL(IF(Worklog!I:I=$C$5, ROW(Worklog!I:I)), ROW(3:3))), "")</f>
        <v>与设施部对接传感器布置方案与现场环境规约</v>
      </c>
      <c r="E22" s="16" t="str">
        <f t="array" ref="E22">IFERROR(INDEX(Worklog!F:F, SMALL(IF(Worklog!I:I=$C$5, ROW(Worklog!I:I)), ROW(3:3))), "")</f>
        <v>确定4号厂房监测点位拓扑图</v>
      </c>
      <c r="F22" s="6">
        <f t="array" ref="F22">IFERROR(INDEX(Worklog!D:D, SMALL(IF(Worklog!I:I=$C$5, ROW(Worklog!I:I)), ROW(3:3))), "")</f>
        <v>2.5000000000000004</v>
      </c>
    </row>
    <row r="23" spans="2:6" ht="22.05" customHeight="1">
      <c r="B23" s="20" t="str">
        <f t="array" ref="B23">IFERROR(INDEX(Worklog!B:B, SMALL(IF(Worklog!I:I=$C$5, ROW(Worklog!I:I)), ROW(4:4))), "")</f>
        <v>2026-07-28</v>
      </c>
      <c r="C23" s="5" t="str">
        <f t="array" ref="C23">IFERROR(INDEX(Worklog!H:H, SMALL(IF(Worklog!I:I=$C$5, ROW(Worklog!I:I)), ROW(4:4))), "")</f>
        <v>厂区振动监测</v>
      </c>
      <c r="D23" s="16" t="str">
        <f t="array" ref="D23">IFERROR(INDEX(Worklog!A:A, SMALL(IF(Worklog!I:I=$C$5, ROW(Worklog!I:I)), ROW(4:4))), "")</f>
        <v>接入加速度传感器信号并校准1/3倍频程数据</v>
      </c>
      <c r="E23" s="16" t="str">
        <f t="array" ref="E23">IFERROR(INDEX(Worklog!F:F, SMALL(IF(Worklog!I:I=$C$5, ROW(Worklog!I:I)), ROW(4:4))), "")</f>
        <v>输出传感器频响校准报告.pdf</v>
      </c>
      <c r="F23" s="6">
        <f t="array" ref="F23">IFERROR(INDEX(Worklog!D:D, SMALL(IF(Worklog!I:I=$C$5, ROW(Worklog!I:I)), ROW(4:4))), "")</f>
        <v>4.5</v>
      </c>
    </row>
    <row r="24" spans="2:6" ht="22.05" customHeight="1">
      <c r="B24" s="20" t="str">
        <f t="array" ref="B24">IFERROR(INDEX(Worklog!B:B, SMALL(IF(Worklog!I:I=$C$5, ROW(Worklog!I:I)), ROW(5:5))), "")</f>
        <v>2026-07-29</v>
      </c>
      <c r="C24" s="5" t="str">
        <f t="array" ref="C24">IFERROR(INDEX(Worklog!H:H, SMALL(IF(Worklog!I:I=$C$5, ROW(Worklog!I:I)), ROW(5:5))), "")</f>
        <v>自动化运维平台</v>
      </c>
      <c r="D24" s="16" t="str">
        <f t="array" ref="D24">IFERROR(INDEX(Worklog!A:A, SMALL(IF(Worklog!I:I=$C$5, ROW(Worklog!I:I)), ROW(5:5))), "")</f>
        <v>梳理设备故障应急响应流程与告警触发机制</v>
      </c>
      <c r="E24" s="16" t="str">
        <f t="array" ref="E24">IFERROR(INDEX(Worklog!F:F, SMALL(IF(Worklog!I:I=$C$5, ROW(Worklog!I:I)), ROW(5:5))), "")</f>
        <v>完成应急响应流程图V1.2</v>
      </c>
      <c r="F24" s="6">
        <f t="array" ref="F24">IFERROR(INDEX(Worklog!D:D, SMALL(IF(Worklog!I:I=$C$5, ROW(Worklog!I:I)), ROW(5:5))), "")</f>
        <v>3</v>
      </c>
    </row>
    <row r="25" spans="2:6" ht="22.05" customHeight="1">
      <c r="B25" s="20" t="str">
        <f t="array" ref="B25">IFERROR(INDEX(Worklog!B:B, SMALL(IF(Worklog!I:I=$C$5, ROW(Worklog!I:I)), ROW(6:6))), "")</f>
        <v>2026-07-29</v>
      </c>
      <c r="C25" s="5" t="str">
        <f t="array" ref="C25">IFERROR(INDEX(Worklog!H:H, SMALL(IF(Worklog!I:I=$C$5, ROW(Worklog!I:I)), ROW(6:6))), "")</f>
        <v>系统重构项目</v>
      </c>
      <c r="D25" s="16" t="str">
        <f t="array" ref="D25">IFERROR(INDEX(Worklog!A:A, SMALL(IF(Worklog!I:I=$C$5, ROW(Worklog!I:I)), ROW(6:6))), "")</f>
        <v>诊断高频数据采集卡顿问题，定位内存泄露点</v>
      </c>
      <c r="E25" s="16" t="str">
        <f t="array" ref="E25">IFERROR(INDEX(Worklog!F:F, SMALL(IF(Worklog!I:I=$C$5, ROW(Worklog!I:I)), ROW(6:6))), "")</f>
        <v>内存泄露修复补丁 PR #105</v>
      </c>
      <c r="F25" s="6">
        <f t="array" ref="F25">IFERROR(INDEX(Worklog!D:D, SMALL(IF(Worklog!I:I=$C$5, ROW(Worklog!I:I)), ROW(6:6))), "")</f>
        <v>4.5</v>
      </c>
    </row>
    <row r="26" spans="2:6" ht="22.05" customHeight="1">
      <c r="B26" s="20" t="str">
        <f t="array" ref="B26">IFERROR(INDEX(Worklog!B:B, SMALL(IF(Worklog!I:I=$C$5, ROW(Worklog!I:I)), ROW(7:7))), "")</f>
        <v>2026-07-30</v>
      </c>
      <c r="C26" s="5" t="str">
        <f t="array" ref="C26">IFERROR(INDEX(Worklog!H:H, SMALL(IF(Worklog!I:I=$C$5, ROW(Worklog!I:I)), ROW(7:7))), "")</f>
        <v>厂区振动监测</v>
      </c>
      <c r="D26" s="16" t="str">
        <f t="array" ref="D26">IFERROR(INDEX(Worklog!A:A, SMALL(IF(Worklog!I:I=$C$5, ROW(Worklog!I:I)), ROW(7:7))), "")</f>
        <v>编写MATLAB自动化数据分析脚本，生成频谱图</v>
      </c>
      <c r="E26" s="16" t="str">
        <f t="array" ref="E26">IFERROR(INDEX(Worklog!F:F, SMALL(IF(Worklog!I:I=$C$5, ROW(Worklog!I:I)), ROW(7:7))), "")</f>
        <v>MATLAB频谱分析处理工具包</v>
      </c>
      <c r="F26" s="6">
        <f t="array" ref="F26">IFERROR(INDEX(Worklog!D:D, SMALL(IF(Worklog!I:I=$C$5, ROW(Worklog!I:I)), ROW(7:7))), "")</f>
        <v>3</v>
      </c>
    </row>
    <row r="27" spans="2:6" ht="22.05" customHeight="1">
      <c r="B27" s="20" t="str">
        <f t="array" ref="B27">IFERROR(INDEX(Worklog!B:B, SMALL(IF(Worklog!I:I=$C$5, ROW(Worklog!I:I)), ROW(8:8))), "")</f>
        <v>2026-07-30</v>
      </c>
      <c r="C27" s="5" t="str">
        <f t="array" ref="C27">IFERROR(INDEX(Worklog!H:H, SMALL(IF(Worklog!I:I=$C$5, ROW(Worklog!I:I)), ROW(8:8))), "")</f>
        <v>日常运维与会议</v>
      </c>
      <c r="D27" s="16" t="str">
        <f t="array" ref="D27">IFERROR(INDEX(Worklog!A:A, SMALL(IF(Worklog!I:I=$C$5, ROW(Worklog!I:I)), ROW(8:8))), "")</f>
        <v>参加部门周度例会及跨团队技术交底会</v>
      </c>
      <c r="E27" s="16" t="str">
        <f t="array" ref="E27">IFERROR(INDEX(Worklog!F:F, SMALL(IF(Worklog!I:I=$C$5, ROW(Worklog!I:I)), ROW(8:8))), "")</f>
        <v>周会会议纪要</v>
      </c>
      <c r="F27" s="6">
        <f t="array" ref="F27">IFERROR(INDEX(Worklog!D:D, SMALL(IF(Worklog!I:I=$C$5, ROW(Worklog!I:I)), ROW(8:8))), "")</f>
        <v>2.4999999999999991</v>
      </c>
    </row>
    <row r="28" spans="2:6" ht="22.05" customHeight="1">
      <c r="B28" s="20" t="str">
        <f t="array" ref="B28">IFERROR(INDEX(Worklog!B:B, SMALL(IF(Worklog!I:I=$C$5, ROW(Worklog!I:I)), ROW(9:9))), "")</f>
        <v>2026-07-31</v>
      </c>
      <c r="C28" s="5" t="str">
        <f t="array" ref="C28">IFERROR(INDEX(Worklog!H:H, SMALL(IF(Worklog!I:I=$C$5, ROW(Worklog!I:I)), ROW(9:9))), "")</f>
        <v>自动化运维平台</v>
      </c>
      <c r="D28" s="16" t="str">
        <f t="array" ref="D28">IFERROR(INDEX(Worklog!A:A, SMALL(IF(Worklog!I:I=$C$5, ROW(Worklog!I:I)), ROW(9:9))), "")</f>
        <v>开发工单自动派发 RESTful API 接口</v>
      </c>
      <c r="E28" s="16" t="str">
        <f t="array" ref="E28">IFERROR(INDEX(Worklog!F:F, SMALL(IF(Worklog!I:I=$C$5, ROW(Worklog!I:I)), ROW(9:9))), "")</f>
        <v>API 接口文档与测试用例</v>
      </c>
      <c r="F28" s="6">
        <f t="array" ref="F28">IFERROR(INDEX(Worklog!D:D, SMALL(IF(Worklog!I:I=$C$5, ROW(Worklog!I:I)), ROW(9:9))), "")</f>
        <v>3</v>
      </c>
    </row>
    <row r="29" spans="2:6" ht="22.05" customHeight="1">
      <c r="B29" s="20" t="str">
        <f t="array" ref="B29">IFERROR(INDEX(Worklog!B:B, SMALL(IF(Worklog!I:I=$C$5, ROW(Worklog!I:I)), ROW(10:10))), "")</f>
        <v>2026-07-31</v>
      </c>
      <c r="C29" s="5" t="str">
        <f t="array" ref="C29">IFERROR(INDEX(Worklog!H:H, SMALL(IF(Worklog!I:I=$C$5, ROW(Worklog!I:I)), ROW(10:10))), "")</f>
        <v>系统重构项目</v>
      </c>
      <c r="D29" s="16" t="str">
        <f t="array" ref="D29">IFERROR(INDEX(Worklog!A:A, SMALL(IF(Worklog!I:I=$C$5, ROW(Worklog!I:I)), ROW(10:10))), "")</f>
        <v>整理系统重构架构设计说明书与部署手册</v>
      </c>
      <c r="E29" s="16" t="str">
        <f t="array" ref="E29">IFERROR(INDEX(Worklog!F:F, SMALL(IF(Worklog!I:I=$C$5, ROW(Worklog!I:I)), ROW(10:10))), "")</f>
        <v>《系统重构技术架构文档 v1.0》</v>
      </c>
      <c r="F29" s="6">
        <f t="array" ref="F29">IFERROR(INDEX(Worklog!D:D, SMALL(IF(Worklog!I:I=$C$5, ROW(Worklog!I:I)), ROW(10:10))), "")</f>
        <v>3.5000000000000009</v>
      </c>
    </row>
    <row r="30" spans="2:6" ht="22.05" customHeight="1">
      <c r="B30" s="20" t="str">
        <f t="array" ref="B30">IFERROR(INDEX(Worklog!B:B, SMALL(IF(Worklog!I:I=$C$5, ROW(Worklog!I:I)), ROW(11:11))), "")</f>
        <v/>
      </c>
      <c r="C30" s="5" t="str">
        <f t="array" ref="C30">IFERROR(INDEX(Worklog!H:H, SMALL(IF(Worklog!I:I=$C$5, ROW(Worklog!I:I)), ROW(11:11))), "")</f>
        <v/>
      </c>
      <c r="D30" s="16" t="str">
        <f t="array" ref="D30">IFERROR(INDEX(Worklog!A:A, SMALL(IF(Worklog!I:I=$C$5, ROW(Worklog!I:I)), ROW(11:11))), "")</f>
        <v/>
      </c>
      <c r="E30" s="16" t="str">
        <f t="array" ref="E30">IFERROR(INDEX(Worklog!F:F, SMALL(IF(Worklog!I:I=$C$5, ROW(Worklog!I:I)), ROW(11:11))), "")</f>
        <v/>
      </c>
      <c r="F30" s="6" t="str">
        <f t="array" ref="F30">IFERROR(INDEX(Worklog!D:D, SMALL(IF(Worklog!I:I=$C$5, ROW(Worklog!I:I)), ROW(11:11))), "")</f>
        <v/>
      </c>
    </row>
    <row r="31" spans="2:6" ht="22.05" customHeight="1">
      <c r="B31" s="20" t="str">
        <f t="array" ref="B31">IFERROR(INDEX(Worklog!B:B, SMALL(IF(Worklog!I:I=$C$5, ROW(Worklog!I:I)), ROW(12:12))), "")</f>
        <v/>
      </c>
      <c r="C31" s="5" t="str">
        <f t="array" ref="C31">IFERROR(INDEX(Worklog!H:H, SMALL(IF(Worklog!I:I=$C$5, ROW(Worklog!I:I)), ROW(12:12))), "")</f>
        <v/>
      </c>
      <c r="D31" s="16" t="str">
        <f t="array" ref="D31">IFERROR(INDEX(Worklog!A:A, SMALL(IF(Worklog!I:I=$C$5, ROW(Worklog!I:I)), ROW(12:12))), "")</f>
        <v/>
      </c>
      <c r="E31" s="16" t="str">
        <f t="array" ref="E31">IFERROR(INDEX(Worklog!F:F, SMALL(IF(Worklog!I:I=$C$5, ROW(Worklog!I:I)), ROW(12:12))), "")</f>
        <v/>
      </c>
      <c r="F31" s="6" t="str">
        <f t="array" ref="F31">IFERROR(INDEX(Worklog!D:D, SMALL(IF(Worklog!I:I=$C$5, ROW(Worklog!I:I)), ROW(12:12))), "")</f>
        <v/>
      </c>
    </row>
    <row r="33" spans="2:6" ht="15.75" customHeight="1">
      <c r="B33" s="3" t="s">
        <v>79</v>
      </c>
    </row>
    <row r="34" spans="2:6" ht="24" customHeight="1">
      <c r="B34" s="4" t="s">
        <v>80</v>
      </c>
      <c r="C34" s="4" t="s">
        <v>81</v>
      </c>
      <c r="D34" s="4" t="s">
        <v>82</v>
      </c>
      <c r="E34" s="4" t="s">
        <v>83</v>
      </c>
      <c r="F34" s="4" t="s">
        <v>84</v>
      </c>
    </row>
    <row r="35" spans="2:6" ht="22.05" customHeight="1">
      <c r="B35" s="17">
        <v>1</v>
      </c>
      <c r="C35" s="8" t="s">
        <v>14</v>
      </c>
      <c r="D35" s="18" t="s">
        <v>85</v>
      </c>
      <c r="E35" s="9">
        <v>12</v>
      </c>
      <c r="F35" s="17" t="s">
        <v>86</v>
      </c>
    </row>
    <row r="36" spans="2:6" ht="22.05" customHeight="1">
      <c r="B36" s="15">
        <v>2</v>
      </c>
      <c r="C36" s="5" t="s">
        <v>27</v>
      </c>
      <c r="D36" s="16" t="s">
        <v>87</v>
      </c>
      <c r="E36" s="6">
        <v>10</v>
      </c>
      <c r="F36" s="15" t="s">
        <v>86</v>
      </c>
    </row>
    <row r="37" spans="2:6" ht="22.05" customHeight="1">
      <c r="B37" s="17">
        <v>3</v>
      </c>
      <c r="C37" s="8" t="s">
        <v>37</v>
      </c>
      <c r="D37" s="18" t="s">
        <v>88</v>
      </c>
      <c r="E37" s="9">
        <v>10</v>
      </c>
      <c r="F37" s="17" t="s">
        <v>89</v>
      </c>
    </row>
    <row r="38" spans="2:6" ht="22.05" customHeight="1">
      <c r="B38" s="15">
        <v>4</v>
      </c>
      <c r="C38" s="5" t="s">
        <v>90</v>
      </c>
      <c r="D38" s="16" t="s">
        <v>91</v>
      </c>
      <c r="E38" s="6">
        <v>8</v>
      </c>
      <c r="F38" s="15" t="s">
        <v>89</v>
      </c>
    </row>
  </sheetData>
  <mergeCells count="8">
    <mergeCell ref="D8:E8"/>
    <mergeCell ref="D7:E7"/>
    <mergeCell ref="B7:C7"/>
    <mergeCell ref="B2:H2"/>
    <mergeCell ref="B3:H3"/>
    <mergeCell ref="B8:C8"/>
    <mergeCell ref="F7:G7"/>
    <mergeCell ref="F8:G8"/>
  </mergeCells>
  <phoneticPr fontId="10" type="noConversion"/>
  <dataValidations count="1">
    <dataValidation type="list" allowBlank="1" sqref="C5" xr:uid="{00000000-0002-0000-0000-000000000000}">
      <formula1>"2026-W31,2026-W32,2026-W30"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46"/>
  <sheetViews>
    <sheetView tabSelected="1" workbookViewId="0">
      <pane xSplit="4" topLeftCell="E1" activePane="topRight" state="frozen"/>
      <selection pane="topRight" activeCell="B16" sqref="B16"/>
    </sheetView>
  </sheetViews>
  <sheetFormatPr defaultRowHeight="13.5"/>
  <cols>
    <col min="1" max="1" width="44.796875" customWidth="1"/>
    <col min="2" max="2" width="13" style="22" customWidth="1"/>
    <col min="3" max="3" width="10" style="26" customWidth="1"/>
    <col min="4" max="4" width="10" style="28" customWidth="1"/>
    <col min="5" max="5" width="10" style="26" customWidth="1"/>
    <col min="6" max="6" width="32" customWidth="1"/>
    <col min="7" max="7" width="15" customWidth="1"/>
    <col min="8" max="8" width="18" customWidth="1"/>
    <col min="9" max="9" width="12" customWidth="1"/>
  </cols>
  <sheetData>
    <row r="1" spans="1:9" ht="26" customHeight="1">
      <c r="A1" s="4" t="s">
        <v>0</v>
      </c>
      <c r="B1" s="19" t="s">
        <v>1</v>
      </c>
      <c r="C1" s="23" t="s">
        <v>2</v>
      </c>
      <c r="D1" s="4" t="s">
        <v>3</v>
      </c>
      <c r="E1" s="23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22.05" customHeight="1">
      <c r="A2" s="16" t="s">
        <v>9</v>
      </c>
      <c r="B2" s="20">
        <v>46230</v>
      </c>
      <c r="C2" s="24" t="s">
        <v>10</v>
      </c>
      <c r="D2" s="27">
        <f t="shared" ref="D2:D11" si="0">IF(AND(C2&lt;&gt;"",E2&lt;&gt;""),(E2-C2)*24,0)</f>
        <v>3.5000000000000009</v>
      </c>
      <c r="E2" s="24" t="s">
        <v>11</v>
      </c>
      <c r="F2" s="16" t="s">
        <v>12</v>
      </c>
      <c r="G2" s="15" t="s">
        <v>13</v>
      </c>
      <c r="H2" s="5" t="s">
        <v>14</v>
      </c>
      <c r="I2" s="15" t="str">
        <f t="shared" ref="I2:I11" si="1">TEXT(B2,"yyyy")&amp;"-W"&amp;TEXT(_xlfn.ISOWEEKNUM(B2),"00")</f>
        <v>2026-W31</v>
      </c>
    </row>
    <row r="3" spans="1:9" ht="22.05" customHeight="1">
      <c r="A3" s="18" t="s">
        <v>15</v>
      </c>
      <c r="B3" s="21" t="s">
        <v>16</v>
      </c>
      <c r="C3" s="25" t="s">
        <v>17</v>
      </c>
      <c r="D3" s="27">
        <f t="shared" si="0"/>
        <v>4.5</v>
      </c>
      <c r="E3" s="25" t="s">
        <v>18</v>
      </c>
      <c r="F3" s="18" t="s">
        <v>19</v>
      </c>
      <c r="G3" s="17" t="s">
        <v>20</v>
      </c>
      <c r="H3" s="8" t="s">
        <v>14</v>
      </c>
      <c r="I3" s="15" t="str">
        <f t="shared" si="1"/>
        <v>2026-W31</v>
      </c>
    </row>
    <row r="4" spans="1:9" ht="22.05" customHeight="1">
      <c r="A4" s="16" t="s">
        <v>21</v>
      </c>
      <c r="B4" s="20" t="s">
        <v>22</v>
      </c>
      <c r="C4" s="24" t="s">
        <v>23</v>
      </c>
      <c r="D4" s="27">
        <f t="shared" si="0"/>
        <v>2.5000000000000004</v>
      </c>
      <c r="E4" s="24" t="s">
        <v>24</v>
      </c>
      <c r="F4" s="16" t="s">
        <v>25</v>
      </c>
      <c r="G4" s="15" t="s">
        <v>26</v>
      </c>
      <c r="H4" s="5" t="s">
        <v>27</v>
      </c>
      <c r="I4" s="15" t="str">
        <f t="shared" si="1"/>
        <v>2026-W31</v>
      </c>
    </row>
    <row r="5" spans="1:9" ht="22.05" customHeight="1">
      <c r="A5" s="18" t="s">
        <v>28</v>
      </c>
      <c r="B5" s="21" t="s">
        <v>22</v>
      </c>
      <c r="C5" s="25" t="s">
        <v>29</v>
      </c>
      <c r="D5" s="27">
        <f t="shared" si="0"/>
        <v>4.5</v>
      </c>
      <c r="E5" s="25" t="s">
        <v>30</v>
      </c>
      <c r="F5" s="18" t="s">
        <v>31</v>
      </c>
      <c r="G5" s="17" t="s">
        <v>32</v>
      </c>
      <c r="H5" s="8" t="s">
        <v>27</v>
      </c>
      <c r="I5" s="15" t="str">
        <f t="shared" si="1"/>
        <v>2026-W31</v>
      </c>
    </row>
    <row r="6" spans="1:9" ht="22.05" customHeight="1">
      <c r="A6" s="16" t="s">
        <v>33</v>
      </c>
      <c r="B6" s="20" t="s">
        <v>34</v>
      </c>
      <c r="C6" s="24" t="s">
        <v>10</v>
      </c>
      <c r="D6" s="27">
        <f t="shared" si="0"/>
        <v>3</v>
      </c>
      <c r="E6" s="24" t="s">
        <v>24</v>
      </c>
      <c r="F6" s="16" t="s">
        <v>35</v>
      </c>
      <c r="G6" s="15" t="s">
        <v>36</v>
      </c>
      <c r="H6" s="5" t="s">
        <v>37</v>
      </c>
      <c r="I6" s="15" t="str">
        <f t="shared" si="1"/>
        <v>2026-W31</v>
      </c>
    </row>
    <row r="7" spans="1:9" ht="22.05" customHeight="1">
      <c r="A7" s="18" t="s">
        <v>38</v>
      </c>
      <c r="B7" s="21" t="s">
        <v>34</v>
      </c>
      <c r="C7" s="25" t="s">
        <v>17</v>
      </c>
      <c r="D7" s="27">
        <f t="shared" si="0"/>
        <v>4.5</v>
      </c>
      <c r="E7" s="25" t="s">
        <v>18</v>
      </c>
      <c r="F7" s="18" t="s">
        <v>39</v>
      </c>
      <c r="G7" s="17" t="s">
        <v>40</v>
      </c>
      <c r="H7" s="8" t="s">
        <v>14</v>
      </c>
      <c r="I7" s="15" t="str">
        <f t="shared" si="1"/>
        <v>2026-W31</v>
      </c>
    </row>
    <row r="8" spans="1:9" ht="22.05" customHeight="1">
      <c r="A8" s="16" t="s">
        <v>41</v>
      </c>
      <c r="B8" s="20" t="s">
        <v>42</v>
      </c>
      <c r="C8" s="24" t="s">
        <v>10</v>
      </c>
      <c r="D8" s="27">
        <f t="shared" si="0"/>
        <v>3</v>
      </c>
      <c r="E8" s="24" t="s">
        <v>24</v>
      </c>
      <c r="F8" s="16" t="s">
        <v>43</v>
      </c>
      <c r="G8" s="15" t="s">
        <v>44</v>
      </c>
      <c r="H8" s="5" t="s">
        <v>27</v>
      </c>
      <c r="I8" s="15" t="str">
        <f t="shared" si="1"/>
        <v>2026-W31</v>
      </c>
    </row>
    <row r="9" spans="1:9" ht="22.05" customHeight="1">
      <c r="A9" s="18" t="s">
        <v>45</v>
      </c>
      <c r="B9" s="21" t="s">
        <v>42</v>
      </c>
      <c r="C9" s="24" t="s">
        <v>46</v>
      </c>
      <c r="D9" s="27">
        <f t="shared" si="0"/>
        <v>2.4999999999999991</v>
      </c>
      <c r="E9" s="25" t="s">
        <v>47</v>
      </c>
      <c r="F9" s="18" t="s">
        <v>48</v>
      </c>
      <c r="G9" s="17" t="s">
        <v>49</v>
      </c>
      <c r="H9" s="8" t="s">
        <v>50</v>
      </c>
      <c r="I9" s="15" t="str">
        <f t="shared" si="1"/>
        <v>2026-W31</v>
      </c>
    </row>
    <row r="10" spans="1:9" ht="22.05" customHeight="1">
      <c r="A10" s="16" t="s">
        <v>51</v>
      </c>
      <c r="B10" s="20" t="s">
        <v>52</v>
      </c>
      <c r="C10" s="24" t="s">
        <v>10</v>
      </c>
      <c r="D10" s="27">
        <f t="shared" si="0"/>
        <v>3</v>
      </c>
      <c r="E10" s="24" t="s">
        <v>24</v>
      </c>
      <c r="F10" s="16" t="s">
        <v>53</v>
      </c>
      <c r="G10" s="15" t="s">
        <v>54</v>
      </c>
      <c r="H10" s="5" t="s">
        <v>37</v>
      </c>
      <c r="I10" s="15" t="str">
        <f t="shared" si="1"/>
        <v>2026-W31</v>
      </c>
    </row>
    <row r="11" spans="1:9" ht="22.05" customHeight="1">
      <c r="A11" s="18" t="s">
        <v>55</v>
      </c>
      <c r="B11" s="21" t="s">
        <v>52</v>
      </c>
      <c r="C11" s="24" t="s">
        <v>17</v>
      </c>
      <c r="D11" s="27">
        <f t="shared" si="0"/>
        <v>3.5000000000000009</v>
      </c>
      <c r="E11" s="25" t="s">
        <v>56</v>
      </c>
      <c r="F11" s="18" t="s">
        <v>57</v>
      </c>
      <c r="G11" s="17" t="s">
        <v>58</v>
      </c>
      <c r="H11" s="8" t="s">
        <v>14</v>
      </c>
      <c r="I11" s="15" t="str">
        <f t="shared" si="1"/>
        <v>2026-W31</v>
      </c>
    </row>
    <row r="12" spans="1:9" ht="14.25" customHeight="1">
      <c r="A12" s="18"/>
      <c r="B12" s="20"/>
      <c r="C12" s="24"/>
      <c r="D12" s="27"/>
      <c r="E12" s="24"/>
      <c r="F12" s="18"/>
      <c r="G12" s="17"/>
      <c r="H12" s="8"/>
      <c r="I12" s="15"/>
    </row>
    <row r="13" spans="1:9" ht="14.25" customHeight="1">
      <c r="A13" s="18"/>
      <c r="B13" s="20"/>
      <c r="C13" s="24"/>
      <c r="D13" s="27"/>
      <c r="E13" s="25"/>
      <c r="F13" s="18"/>
      <c r="G13" s="17"/>
      <c r="H13" s="8"/>
      <c r="I13" s="15"/>
    </row>
    <row r="14" spans="1:9" ht="14.25" customHeight="1">
      <c r="A14" s="18"/>
      <c r="B14" s="20"/>
      <c r="C14" s="24"/>
      <c r="D14" s="27"/>
      <c r="E14" s="25"/>
      <c r="F14" s="18"/>
      <c r="G14" s="17"/>
      <c r="I14" s="15"/>
    </row>
    <row r="15" spans="1:9" ht="14.25" customHeight="1">
      <c r="A15" s="18"/>
      <c r="B15" s="20"/>
      <c r="C15" s="24"/>
      <c r="D15" s="27"/>
      <c r="E15" s="25"/>
      <c r="F15" s="18"/>
      <c r="G15" s="17"/>
      <c r="I15" s="15"/>
    </row>
    <row r="16" spans="1:9" ht="14.25" customHeight="1">
      <c r="A16" s="18"/>
      <c r="B16" s="20"/>
      <c r="C16" s="24"/>
      <c r="D16" s="27"/>
      <c r="E16" s="25"/>
      <c r="F16" s="18"/>
      <c r="G16" s="17"/>
      <c r="I16" s="15"/>
    </row>
    <row r="17" spans="1:9" ht="14.25" customHeight="1">
      <c r="A17" s="18"/>
      <c r="B17" s="20"/>
      <c r="C17" s="24"/>
      <c r="D17" s="27"/>
      <c r="E17" s="25"/>
      <c r="F17" s="18"/>
      <c r="G17" s="17"/>
      <c r="I17" s="15"/>
    </row>
    <row r="18" spans="1:9" ht="14.25" customHeight="1">
      <c r="A18" s="18"/>
      <c r="B18" s="20"/>
      <c r="C18" s="24"/>
      <c r="D18" s="27"/>
      <c r="E18" s="25"/>
      <c r="F18" s="18"/>
      <c r="G18" s="17"/>
      <c r="I18" s="15"/>
    </row>
    <row r="19" spans="1:9" ht="14.25" customHeight="1">
      <c r="A19" s="18"/>
      <c r="B19" s="20"/>
      <c r="C19" s="24"/>
      <c r="D19" s="27"/>
      <c r="E19" s="25"/>
      <c r="F19" s="18"/>
      <c r="G19" s="17"/>
      <c r="I19" s="15"/>
    </row>
    <row r="20" spans="1:9" ht="14.25" customHeight="1">
      <c r="A20" s="18"/>
      <c r="B20" s="20"/>
      <c r="C20" s="24"/>
      <c r="D20" s="27"/>
      <c r="E20" s="25"/>
      <c r="F20" s="18"/>
      <c r="G20" s="17"/>
      <c r="I20" s="15"/>
    </row>
    <row r="21" spans="1:9" ht="14.25" customHeight="1">
      <c r="A21" s="18"/>
      <c r="B21" s="20"/>
      <c r="C21" s="24"/>
      <c r="D21" s="27"/>
      <c r="E21" s="25"/>
      <c r="F21" s="18"/>
      <c r="G21" s="17"/>
      <c r="I21" s="15"/>
    </row>
    <row r="22" spans="1:9" ht="14.25" customHeight="1">
      <c r="A22" s="18"/>
      <c r="B22" s="20"/>
      <c r="C22" s="24"/>
      <c r="D22" s="27"/>
      <c r="E22" s="25"/>
      <c r="F22" s="18"/>
      <c r="G22" s="17"/>
      <c r="I22" s="15"/>
    </row>
    <row r="23" spans="1:9" ht="14.25" customHeight="1">
      <c r="A23" s="18"/>
      <c r="B23" s="20"/>
      <c r="C23" s="24"/>
      <c r="D23" s="27"/>
      <c r="E23" s="25"/>
      <c r="F23" s="18"/>
      <c r="G23" s="17"/>
      <c r="I23" s="15"/>
    </row>
    <row r="24" spans="1:9" ht="14.25" customHeight="1">
      <c r="A24" s="18"/>
      <c r="B24" s="20"/>
      <c r="C24" s="24"/>
      <c r="D24" s="27"/>
      <c r="E24" s="25"/>
      <c r="F24" s="18"/>
      <c r="G24" s="17"/>
      <c r="I24" s="15"/>
    </row>
    <row r="25" spans="1:9" ht="14.25" customHeight="1">
      <c r="A25" s="18"/>
      <c r="B25" s="20"/>
      <c r="C25" s="24"/>
      <c r="D25" s="27"/>
      <c r="E25" s="25"/>
      <c r="F25" s="18"/>
      <c r="G25" s="17"/>
      <c r="I25" s="15"/>
    </row>
    <row r="26" spans="1:9" ht="14.25" customHeight="1">
      <c r="A26" s="18"/>
      <c r="B26" s="20"/>
      <c r="C26" s="24"/>
      <c r="D26" s="27"/>
      <c r="E26" s="25"/>
      <c r="F26" s="18"/>
      <c r="G26" s="17"/>
      <c r="I26" s="15"/>
    </row>
    <row r="27" spans="1:9" ht="14.25" customHeight="1">
      <c r="A27" s="18"/>
      <c r="B27" s="20"/>
      <c r="C27" s="24"/>
      <c r="D27" s="27"/>
      <c r="E27" s="25"/>
      <c r="F27" s="18"/>
      <c r="G27" s="17"/>
      <c r="I27" s="15"/>
    </row>
    <row r="28" spans="1:9" ht="14.25" customHeight="1">
      <c r="A28" s="18"/>
      <c r="B28" s="20"/>
      <c r="C28" s="24"/>
      <c r="D28" s="27"/>
      <c r="E28" s="25"/>
      <c r="F28" s="18"/>
      <c r="G28" s="17"/>
      <c r="I28" s="15"/>
    </row>
    <row r="29" spans="1:9" ht="14.25" customHeight="1">
      <c r="A29" s="18"/>
      <c r="B29" s="20"/>
      <c r="C29" s="24"/>
      <c r="D29" s="27"/>
      <c r="E29" s="25"/>
      <c r="F29" s="18"/>
      <c r="G29" s="17"/>
      <c r="I29" s="15"/>
    </row>
    <row r="30" spans="1:9" ht="14.25" customHeight="1">
      <c r="A30" s="18"/>
      <c r="B30" s="20"/>
      <c r="C30" s="24"/>
      <c r="D30" s="27"/>
      <c r="E30" s="25"/>
      <c r="F30" s="18"/>
      <c r="G30" s="17"/>
      <c r="I30" s="15"/>
    </row>
    <row r="31" spans="1:9" ht="14.25" customHeight="1">
      <c r="A31" s="18"/>
      <c r="B31" s="20"/>
      <c r="C31" s="24"/>
      <c r="D31" s="27"/>
      <c r="E31" s="25"/>
      <c r="F31" s="18"/>
      <c r="G31" s="17"/>
      <c r="I31" s="15"/>
    </row>
    <row r="32" spans="1:9" ht="14.25" customHeight="1">
      <c r="A32" s="18"/>
      <c r="B32" s="20"/>
      <c r="C32" s="24"/>
      <c r="D32" s="27"/>
      <c r="E32" s="25"/>
      <c r="F32" s="18"/>
      <c r="G32" s="17"/>
      <c r="I32" s="15"/>
    </row>
    <row r="33" spans="1:9" ht="14.25" customHeight="1">
      <c r="A33" s="18"/>
      <c r="B33" s="20"/>
      <c r="C33" s="24"/>
      <c r="D33" s="27"/>
      <c r="E33" s="25"/>
      <c r="F33" s="18"/>
      <c r="G33" s="17"/>
      <c r="I33" s="15"/>
    </row>
    <row r="34" spans="1:9" ht="14.25" customHeight="1">
      <c r="A34" s="18"/>
      <c r="B34" s="20"/>
      <c r="C34" s="24"/>
      <c r="D34" s="27"/>
      <c r="E34" s="25"/>
      <c r="F34" s="18"/>
      <c r="G34" s="17"/>
      <c r="I34" s="15"/>
    </row>
    <row r="35" spans="1:9" ht="14.25" customHeight="1">
      <c r="A35" s="18"/>
      <c r="B35" s="20"/>
      <c r="C35" s="24"/>
      <c r="D35" s="27"/>
      <c r="E35" s="25"/>
      <c r="F35" s="18"/>
      <c r="G35" s="17"/>
      <c r="I35" s="15"/>
    </row>
    <row r="36" spans="1:9" ht="14.25" customHeight="1">
      <c r="A36" s="18"/>
      <c r="B36" s="20"/>
      <c r="C36" s="24"/>
      <c r="D36" s="27"/>
      <c r="E36" s="25"/>
      <c r="F36" s="18"/>
      <c r="G36" s="17"/>
      <c r="I36" s="15"/>
    </row>
    <row r="37" spans="1:9" ht="14.25" customHeight="1">
      <c r="A37" s="18"/>
      <c r="B37" s="20"/>
      <c r="C37" s="24"/>
      <c r="D37" s="27"/>
      <c r="E37" s="25"/>
      <c r="F37" s="18"/>
      <c r="G37" s="17"/>
      <c r="I37" s="15"/>
    </row>
    <row r="38" spans="1:9" ht="14.25" customHeight="1">
      <c r="A38" s="18"/>
      <c r="B38" s="20"/>
      <c r="C38" s="24"/>
      <c r="D38" s="27"/>
      <c r="E38" s="25"/>
      <c r="F38" s="18"/>
      <c r="G38" s="17"/>
      <c r="I38" s="15"/>
    </row>
    <row r="39" spans="1:9" ht="14.25" customHeight="1">
      <c r="A39" s="18"/>
      <c r="B39" s="20"/>
      <c r="C39" s="24"/>
      <c r="D39" s="27"/>
      <c r="E39" s="25"/>
      <c r="F39" s="18"/>
      <c r="G39" s="17"/>
      <c r="I39" s="15"/>
    </row>
    <row r="40" spans="1:9" ht="14.25" customHeight="1">
      <c r="A40" s="18"/>
      <c r="B40" s="20"/>
      <c r="C40" s="24"/>
      <c r="D40" s="27"/>
      <c r="E40" s="25"/>
      <c r="F40" s="18"/>
      <c r="G40" s="17"/>
      <c r="I40" s="15"/>
    </row>
    <row r="41" spans="1:9" ht="14.25" customHeight="1">
      <c r="A41" s="18"/>
      <c r="B41" s="20"/>
      <c r="C41" s="24"/>
      <c r="D41" s="27"/>
      <c r="E41" s="25"/>
      <c r="F41" s="18"/>
      <c r="G41" s="17"/>
      <c r="I41" s="15"/>
    </row>
    <row r="42" spans="1:9" ht="14.25" customHeight="1">
      <c r="A42" s="18"/>
      <c r="B42" s="20"/>
      <c r="C42" s="24"/>
      <c r="D42" s="27"/>
      <c r="E42" s="25"/>
      <c r="F42" s="18"/>
      <c r="G42" s="17"/>
      <c r="I42" s="15"/>
    </row>
    <row r="43" spans="1:9" ht="14.25" customHeight="1">
      <c r="A43" s="18"/>
      <c r="B43" s="20"/>
      <c r="C43" s="24"/>
      <c r="D43" s="27"/>
      <c r="E43" s="25"/>
      <c r="F43" s="18"/>
      <c r="G43" s="17"/>
      <c r="I43" s="15"/>
    </row>
    <row r="44" spans="1:9" ht="14.25" customHeight="1">
      <c r="A44" s="18"/>
      <c r="B44" s="20"/>
      <c r="C44" s="24"/>
      <c r="D44" s="27"/>
      <c r="E44" s="25"/>
      <c r="F44" s="18"/>
      <c r="G44" s="17"/>
      <c r="I44" s="15"/>
    </row>
    <row r="45" spans="1:9" ht="14.25" customHeight="1">
      <c r="A45" s="18"/>
      <c r="B45" s="20"/>
      <c r="C45" s="24"/>
      <c r="D45" s="27"/>
      <c r="E45" s="25"/>
      <c r="F45" s="18"/>
      <c r="G45" s="17"/>
      <c r="I45" s="15"/>
    </row>
    <row r="46" spans="1:9" ht="14.25" customHeight="1">
      <c r="A46" s="18"/>
      <c r="B46" s="20"/>
      <c r="C46" s="25"/>
      <c r="D46" s="27"/>
      <c r="E46" s="25"/>
      <c r="F46" s="18"/>
      <c r="G46" s="17"/>
      <c r="I46" s="15"/>
    </row>
    <row r="47" spans="1:9" ht="14.25" customHeight="1">
      <c r="A47" s="18"/>
      <c r="B47" s="20"/>
      <c r="C47" s="25"/>
      <c r="D47" s="27"/>
      <c r="F47" s="18"/>
      <c r="G47" s="17"/>
      <c r="I47" s="15"/>
    </row>
    <row r="48" spans="1:9" ht="14.25" customHeight="1">
      <c r="A48" s="18"/>
      <c r="B48" s="20"/>
      <c r="C48" s="25"/>
      <c r="D48" s="27"/>
      <c r="F48" s="18"/>
      <c r="G48" s="17"/>
      <c r="I48" s="15"/>
    </row>
    <row r="49" spans="1:7" ht="14.25" customHeight="1">
      <c r="A49" s="18"/>
      <c r="B49" s="20"/>
      <c r="C49" s="25"/>
      <c r="D49" s="27"/>
      <c r="F49" s="18"/>
      <c r="G49" s="17"/>
    </row>
    <row r="50" spans="1:7" ht="14.25" customHeight="1">
      <c r="A50" s="18"/>
      <c r="B50" s="20"/>
      <c r="C50" s="25"/>
      <c r="D50" s="27"/>
      <c r="F50" s="18"/>
      <c r="G50" s="17"/>
    </row>
    <row r="51" spans="1:7" ht="14.25" customHeight="1">
      <c r="A51" s="18"/>
      <c r="B51" s="20"/>
      <c r="C51" s="25"/>
      <c r="D51" s="27"/>
      <c r="F51" s="18"/>
      <c r="G51" s="17"/>
    </row>
    <row r="52" spans="1:7" ht="14.25" customHeight="1">
      <c r="A52" s="18"/>
      <c r="B52" s="20"/>
      <c r="C52" s="25"/>
      <c r="D52" s="27"/>
      <c r="F52" s="18"/>
      <c r="G52" s="17"/>
    </row>
    <row r="53" spans="1:7" ht="14.25" customHeight="1">
      <c r="A53" s="18"/>
      <c r="B53" s="20"/>
      <c r="C53" s="25"/>
      <c r="D53" s="27"/>
      <c r="F53" s="18"/>
      <c r="G53" s="17"/>
    </row>
    <row r="54" spans="1:7" ht="14.25" customHeight="1">
      <c r="A54" s="18"/>
      <c r="B54" s="20"/>
      <c r="C54" s="25"/>
      <c r="D54" s="27"/>
      <c r="F54" s="18"/>
      <c r="G54" s="17"/>
    </row>
    <row r="55" spans="1:7" ht="14.25" customHeight="1">
      <c r="A55" s="18"/>
      <c r="B55" s="20"/>
      <c r="C55" s="25"/>
      <c r="D55" s="27"/>
      <c r="F55" s="18"/>
      <c r="G55" s="17"/>
    </row>
    <row r="56" spans="1:7" ht="14.25" customHeight="1">
      <c r="A56" s="18"/>
      <c r="B56" s="20"/>
      <c r="C56" s="25"/>
      <c r="D56" s="27"/>
      <c r="F56" s="18"/>
      <c r="G56" s="17"/>
    </row>
    <row r="57" spans="1:7" ht="14.25" customHeight="1">
      <c r="A57" s="18"/>
      <c r="B57" s="20"/>
      <c r="C57" s="25"/>
      <c r="D57" s="27"/>
      <c r="F57" s="18"/>
      <c r="G57" s="17"/>
    </row>
    <row r="58" spans="1:7" ht="14.25" customHeight="1">
      <c r="A58" s="18"/>
      <c r="B58" s="20"/>
      <c r="C58" s="25"/>
      <c r="D58" s="27"/>
      <c r="F58" s="18"/>
      <c r="G58" s="17"/>
    </row>
    <row r="59" spans="1:7" ht="14.25" customHeight="1">
      <c r="A59" s="18"/>
      <c r="B59" s="20"/>
      <c r="C59" s="25"/>
      <c r="D59" s="27"/>
      <c r="F59" s="18"/>
      <c r="G59" s="17"/>
    </row>
    <row r="60" spans="1:7" ht="14.25" customHeight="1">
      <c r="A60" s="18"/>
      <c r="B60" s="20"/>
      <c r="C60" s="25"/>
      <c r="D60" s="27"/>
      <c r="F60" s="18"/>
      <c r="G60" s="17"/>
    </row>
    <row r="61" spans="1:7" ht="14.25" customHeight="1">
      <c r="A61" s="18"/>
      <c r="B61" s="20"/>
      <c r="C61" s="25"/>
      <c r="D61" s="27"/>
      <c r="F61" s="18"/>
      <c r="G61" s="17"/>
    </row>
    <row r="62" spans="1:7" ht="14.25" customHeight="1">
      <c r="A62" s="18"/>
      <c r="B62" s="20"/>
      <c r="C62" s="25"/>
      <c r="D62" s="27"/>
      <c r="F62" s="18"/>
      <c r="G62" s="17"/>
    </row>
    <row r="63" spans="1:7" ht="14.25" customHeight="1">
      <c r="A63" s="18"/>
      <c r="B63" s="20"/>
      <c r="C63" s="25"/>
      <c r="D63" s="27"/>
      <c r="F63" s="18"/>
      <c r="G63" s="17"/>
    </row>
    <row r="64" spans="1:7" ht="14.25" customHeight="1">
      <c r="A64" s="18"/>
      <c r="B64" s="20"/>
      <c r="C64" s="25"/>
      <c r="D64" s="27"/>
      <c r="F64" s="18"/>
      <c r="G64" s="17"/>
    </row>
    <row r="65" spans="1:7" ht="14.25" customHeight="1">
      <c r="A65" s="18"/>
      <c r="B65" s="20"/>
      <c r="C65" s="25"/>
      <c r="D65" s="27"/>
      <c r="F65" s="18"/>
      <c r="G65" s="17"/>
    </row>
    <row r="66" spans="1:7" ht="14.25" customHeight="1">
      <c r="A66" s="18"/>
      <c r="B66" s="20"/>
      <c r="C66" s="25"/>
      <c r="D66" s="27"/>
      <c r="F66" s="18"/>
      <c r="G66" s="17"/>
    </row>
    <row r="67" spans="1:7" ht="14.25" customHeight="1">
      <c r="A67" s="18"/>
      <c r="B67" s="20"/>
      <c r="C67" s="25"/>
      <c r="D67" s="27"/>
      <c r="F67" s="18"/>
      <c r="G67" s="17"/>
    </row>
    <row r="68" spans="1:7" ht="14.25" customHeight="1">
      <c r="A68" s="18"/>
      <c r="B68" s="20"/>
      <c r="C68" s="25"/>
      <c r="D68" s="27"/>
      <c r="F68" s="18"/>
      <c r="G68" s="17"/>
    </row>
    <row r="69" spans="1:7" ht="14.25" customHeight="1">
      <c r="A69" s="18"/>
      <c r="B69" s="20"/>
      <c r="C69" s="25"/>
      <c r="D69" s="27"/>
      <c r="F69" s="18"/>
      <c r="G69" s="17"/>
    </row>
    <row r="70" spans="1:7" ht="14.25" customHeight="1">
      <c r="A70" s="18"/>
      <c r="B70" s="20"/>
      <c r="C70" s="25"/>
      <c r="D70" s="27"/>
      <c r="F70" s="18"/>
      <c r="G70" s="17"/>
    </row>
    <row r="71" spans="1:7" ht="14.25" customHeight="1">
      <c r="A71" s="18"/>
      <c r="B71" s="20"/>
      <c r="C71" s="25"/>
      <c r="D71" s="27"/>
      <c r="F71" s="18"/>
      <c r="G71" s="17"/>
    </row>
    <row r="72" spans="1:7" ht="14.25" customHeight="1">
      <c r="A72" s="18"/>
      <c r="B72" s="20"/>
      <c r="C72" s="25"/>
      <c r="D72" s="27"/>
      <c r="F72" s="18"/>
      <c r="G72" s="17"/>
    </row>
    <row r="73" spans="1:7" ht="14.25" customHeight="1">
      <c r="A73" s="18"/>
      <c r="B73" s="20"/>
      <c r="C73" s="25"/>
      <c r="D73" s="27"/>
      <c r="F73" s="18"/>
      <c r="G73" s="17"/>
    </row>
    <row r="74" spans="1:7" ht="14.25" customHeight="1">
      <c r="A74" s="18"/>
      <c r="B74" s="20"/>
      <c r="C74" s="25"/>
      <c r="D74" s="27"/>
      <c r="F74" s="18"/>
      <c r="G74" s="17"/>
    </row>
    <row r="75" spans="1:7" ht="14.25" customHeight="1">
      <c r="A75" s="18"/>
      <c r="B75" s="20"/>
      <c r="C75" s="25"/>
      <c r="D75" s="27"/>
      <c r="F75" s="18"/>
      <c r="G75" s="17"/>
    </row>
    <row r="76" spans="1:7" ht="14.25" customHeight="1">
      <c r="A76" s="18"/>
      <c r="B76" s="20"/>
      <c r="C76" s="25"/>
      <c r="D76" s="27"/>
      <c r="F76" s="18"/>
      <c r="G76" s="17"/>
    </row>
    <row r="77" spans="1:7" ht="14.25" customHeight="1">
      <c r="A77" s="18"/>
      <c r="B77" s="20"/>
      <c r="C77" s="25"/>
      <c r="D77" s="27"/>
      <c r="F77" s="18"/>
      <c r="G77" s="17"/>
    </row>
    <row r="78" spans="1:7" ht="14.25" customHeight="1">
      <c r="A78" s="18"/>
      <c r="B78" s="20"/>
      <c r="C78" s="25"/>
      <c r="D78" s="27"/>
      <c r="F78" s="18"/>
      <c r="G78" s="17"/>
    </row>
    <row r="79" spans="1:7" ht="14.25" customHeight="1">
      <c r="A79" s="18"/>
      <c r="B79" s="20"/>
      <c r="C79" s="25"/>
      <c r="D79" s="27"/>
      <c r="F79" s="18"/>
      <c r="G79" s="17"/>
    </row>
    <row r="80" spans="1:7" ht="14.25" customHeight="1">
      <c r="A80" s="18"/>
      <c r="B80" s="20"/>
      <c r="C80" s="25"/>
      <c r="D80" s="27"/>
      <c r="F80" s="18"/>
      <c r="G80" s="17"/>
    </row>
    <row r="81" spans="1:7" ht="14.25" customHeight="1">
      <c r="A81" s="18"/>
      <c r="B81" s="20"/>
      <c r="C81" s="25"/>
      <c r="D81" s="27"/>
      <c r="F81" s="18"/>
      <c r="G81" s="17"/>
    </row>
    <row r="82" spans="1:7" ht="14.25" customHeight="1">
      <c r="A82" s="18"/>
      <c r="B82" s="20"/>
      <c r="C82" s="25"/>
      <c r="D82" s="27"/>
      <c r="F82" s="18"/>
      <c r="G82" s="17"/>
    </row>
    <row r="83" spans="1:7" ht="14.25" customHeight="1">
      <c r="A83" s="18"/>
      <c r="B83" s="20"/>
      <c r="C83" s="25"/>
      <c r="D83" s="27"/>
      <c r="F83" s="18"/>
      <c r="G83" s="17"/>
    </row>
    <row r="84" spans="1:7" ht="14.25" customHeight="1">
      <c r="A84" s="18"/>
      <c r="B84" s="20"/>
      <c r="C84" s="25"/>
      <c r="D84" s="27"/>
      <c r="F84" s="18"/>
      <c r="G84" s="17"/>
    </row>
    <row r="85" spans="1:7" ht="14.25" customHeight="1">
      <c r="A85" s="18"/>
      <c r="B85" s="20"/>
      <c r="C85" s="25"/>
      <c r="D85" s="27"/>
      <c r="F85" s="18"/>
      <c r="G85" s="17"/>
    </row>
    <row r="86" spans="1:7" ht="14.25" customHeight="1">
      <c r="A86" s="18"/>
      <c r="B86" s="20"/>
      <c r="C86" s="25"/>
      <c r="D86" s="27"/>
      <c r="F86" s="18"/>
      <c r="G86" s="17"/>
    </row>
    <row r="87" spans="1:7" ht="14.25" customHeight="1">
      <c r="A87" s="18"/>
      <c r="B87" s="20"/>
      <c r="C87" s="25"/>
      <c r="D87" s="27"/>
      <c r="F87" s="18"/>
      <c r="G87" s="17"/>
    </row>
    <row r="88" spans="1:7" ht="14.25" customHeight="1">
      <c r="A88" s="18"/>
      <c r="B88" s="20"/>
      <c r="D88" s="27"/>
      <c r="F88" s="18"/>
      <c r="G88" s="17"/>
    </row>
    <row r="89" spans="1:7" ht="14.25" customHeight="1">
      <c r="A89" s="18"/>
      <c r="B89" s="20"/>
      <c r="D89" s="27"/>
      <c r="F89" s="18"/>
      <c r="G89" s="17"/>
    </row>
    <row r="90" spans="1:7" ht="14.25" customHeight="1">
      <c r="A90" s="18"/>
      <c r="B90" s="20"/>
      <c r="D90" s="27"/>
      <c r="F90" s="18"/>
      <c r="G90" s="17"/>
    </row>
    <row r="91" spans="1:7" ht="14.25" customHeight="1">
      <c r="A91" s="18"/>
      <c r="B91" s="20"/>
      <c r="D91" s="27"/>
      <c r="F91" s="18"/>
      <c r="G91" s="17"/>
    </row>
    <row r="92" spans="1:7" ht="14.25" customHeight="1">
      <c r="A92" s="18"/>
      <c r="B92" s="20"/>
      <c r="D92" s="27"/>
      <c r="F92" s="18"/>
      <c r="G92" s="17"/>
    </row>
    <row r="93" spans="1:7" ht="14.25" customHeight="1">
      <c r="A93" s="18"/>
      <c r="B93" s="20"/>
      <c r="D93" s="27"/>
      <c r="F93" s="18"/>
      <c r="G93" s="17"/>
    </row>
    <row r="94" spans="1:7" ht="14.25" customHeight="1">
      <c r="A94" s="18"/>
      <c r="B94" s="20"/>
      <c r="D94" s="27"/>
      <c r="F94" s="18"/>
      <c r="G94" s="17"/>
    </row>
    <row r="95" spans="1:7" ht="14.25" customHeight="1">
      <c r="A95" s="18"/>
      <c r="B95" s="20"/>
      <c r="D95" s="27"/>
      <c r="F95" s="18"/>
      <c r="G95" s="17"/>
    </row>
    <row r="96" spans="1:7" ht="14.25" customHeight="1">
      <c r="A96" s="18"/>
      <c r="B96" s="20"/>
      <c r="D96" s="27"/>
      <c r="F96" s="18"/>
      <c r="G96" s="17"/>
    </row>
    <row r="97" spans="1:7" ht="14.25" customHeight="1">
      <c r="A97" s="18"/>
      <c r="B97" s="20"/>
      <c r="D97" s="27"/>
      <c r="F97" s="18"/>
      <c r="G97" s="17"/>
    </row>
    <row r="98" spans="1:7" ht="14.25" customHeight="1">
      <c r="A98" s="18"/>
      <c r="B98" s="20"/>
      <c r="D98" s="27"/>
      <c r="F98" s="18"/>
      <c r="G98" s="17"/>
    </row>
    <row r="99" spans="1:7" ht="14.25" customHeight="1">
      <c r="A99" s="18"/>
      <c r="B99" s="20"/>
      <c r="D99" s="27"/>
      <c r="F99" s="18"/>
      <c r="G99" s="17"/>
    </row>
    <row r="100" spans="1:7" ht="14.25" customHeight="1">
      <c r="A100" s="18"/>
      <c r="B100" s="20"/>
      <c r="D100" s="27"/>
      <c r="F100" s="18"/>
      <c r="G100" s="17"/>
    </row>
    <row r="101" spans="1:7" ht="14.25" customHeight="1">
      <c r="A101" s="18"/>
      <c r="B101" s="20"/>
      <c r="D101" s="27"/>
      <c r="F101" s="18"/>
      <c r="G101" s="17"/>
    </row>
    <row r="102" spans="1:7" ht="14.25" customHeight="1">
      <c r="A102" s="18"/>
      <c r="B102" s="20"/>
      <c r="D102" s="27"/>
      <c r="F102" s="18"/>
      <c r="G102" s="17"/>
    </row>
    <row r="103" spans="1:7" ht="14.25" customHeight="1">
      <c r="A103" s="18"/>
      <c r="B103" s="20"/>
      <c r="D103" s="27"/>
      <c r="F103" s="18"/>
      <c r="G103" s="17"/>
    </row>
    <row r="104" spans="1:7" ht="14.25" customHeight="1">
      <c r="A104" s="18"/>
      <c r="B104" s="20"/>
      <c r="D104" s="27"/>
      <c r="F104" s="18"/>
      <c r="G104" s="17"/>
    </row>
    <row r="105" spans="1:7" ht="14.25" customHeight="1">
      <c r="A105" s="18"/>
      <c r="B105" s="20"/>
      <c r="D105" s="27"/>
      <c r="F105" s="18"/>
      <c r="G105" s="17"/>
    </row>
    <row r="106" spans="1:7" ht="14.25" customHeight="1">
      <c r="A106" s="18"/>
      <c r="B106" s="20"/>
      <c r="D106" s="27"/>
      <c r="F106" s="18"/>
      <c r="G106" s="17"/>
    </row>
    <row r="107" spans="1:7" ht="14.25" customHeight="1">
      <c r="A107" s="18"/>
      <c r="B107" s="20"/>
      <c r="D107" s="27"/>
      <c r="F107" s="18"/>
      <c r="G107" s="17"/>
    </row>
    <row r="108" spans="1:7" ht="14.25" customHeight="1">
      <c r="A108" s="18"/>
      <c r="B108" s="20"/>
      <c r="D108" s="27"/>
      <c r="F108" s="18"/>
      <c r="G108" s="17"/>
    </row>
    <row r="109" spans="1:7" ht="14.25" customHeight="1">
      <c r="A109" s="18"/>
      <c r="B109" s="20"/>
      <c r="D109" s="27"/>
      <c r="F109" s="18"/>
      <c r="G109" s="17"/>
    </row>
    <row r="110" spans="1:7" ht="14.25" customHeight="1">
      <c r="A110" s="18"/>
      <c r="B110" s="20"/>
      <c r="D110" s="27"/>
      <c r="F110" s="18"/>
      <c r="G110" s="17"/>
    </row>
    <row r="111" spans="1:7" ht="14.25" customHeight="1">
      <c r="A111" s="18"/>
      <c r="B111" s="20"/>
      <c r="D111" s="27"/>
      <c r="F111" s="18"/>
      <c r="G111" s="17"/>
    </row>
    <row r="112" spans="1:7" ht="14.25" customHeight="1">
      <c r="A112" s="18"/>
      <c r="B112" s="20"/>
      <c r="D112" s="27"/>
      <c r="F112" s="18"/>
      <c r="G112" s="17"/>
    </row>
    <row r="113" spans="1:7" ht="14.25" customHeight="1">
      <c r="A113" s="18"/>
      <c r="B113" s="20"/>
      <c r="D113" s="27"/>
      <c r="F113" s="18"/>
      <c r="G113" s="17"/>
    </row>
    <row r="114" spans="1:7" ht="14.25" customHeight="1">
      <c r="A114" s="18"/>
      <c r="B114" s="20"/>
      <c r="D114" s="27"/>
      <c r="F114" s="18"/>
      <c r="G114" s="17"/>
    </row>
    <row r="115" spans="1:7" ht="14.25" customHeight="1">
      <c r="A115" s="18"/>
      <c r="B115" s="20"/>
      <c r="D115" s="27"/>
      <c r="F115" s="18"/>
      <c r="G115" s="17"/>
    </row>
    <row r="116" spans="1:7" ht="14.25" customHeight="1">
      <c r="A116" s="18"/>
      <c r="B116" s="20"/>
      <c r="D116" s="27"/>
      <c r="F116" s="18"/>
      <c r="G116" s="17"/>
    </row>
    <row r="117" spans="1:7" ht="14.25" customHeight="1">
      <c r="A117" s="18"/>
      <c r="B117" s="20"/>
      <c r="D117" s="27"/>
      <c r="F117" s="18"/>
      <c r="G117" s="17"/>
    </row>
    <row r="118" spans="1:7" ht="14.25" customHeight="1">
      <c r="A118" s="18"/>
      <c r="B118" s="20"/>
      <c r="D118" s="27"/>
      <c r="F118" s="18"/>
      <c r="G118" s="17"/>
    </row>
    <row r="119" spans="1:7" ht="14.25" customHeight="1">
      <c r="A119" s="18"/>
      <c r="B119" s="20"/>
      <c r="D119" s="27"/>
      <c r="F119" s="18"/>
      <c r="G119" s="17"/>
    </row>
    <row r="120" spans="1:7" ht="14.25" customHeight="1">
      <c r="A120" s="18"/>
      <c r="B120" s="20"/>
      <c r="D120" s="27"/>
      <c r="F120" s="18"/>
    </row>
    <row r="121" spans="1:7" ht="14.25" customHeight="1">
      <c r="A121" s="18"/>
      <c r="B121" s="20"/>
      <c r="D121" s="27"/>
      <c r="F121" s="18"/>
    </row>
    <row r="122" spans="1:7" ht="14.25" customHeight="1">
      <c r="A122" s="18"/>
      <c r="B122" s="20"/>
      <c r="D122" s="27"/>
      <c r="F122" s="18"/>
    </row>
    <row r="123" spans="1:7" ht="14.25" customHeight="1">
      <c r="A123" s="18"/>
      <c r="B123" s="20"/>
      <c r="D123" s="27"/>
      <c r="F123" s="18"/>
    </row>
    <row r="124" spans="1:7" ht="14.25" customHeight="1">
      <c r="A124" s="18"/>
      <c r="B124" s="20"/>
      <c r="D124" s="27"/>
      <c r="F124" s="18"/>
    </row>
    <row r="125" spans="1:7" ht="14.25" customHeight="1">
      <c r="A125" s="18"/>
      <c r="B125" s="20"/>
      <c r="D125" s="27"/>
      <c r="F125" s="18"/>
    </row>
    <row r="126" spans="1:7" ht="14.25" customHeight="1">
      <c r="A126" s="18"/>
      <c r="B126" s="20"/>
      <c r="D126" s="27"/>
      <c r="F126" s="18"/>
    </row>
    <row r="127" spans="1:7" ht="14.25" customHeight="1">
      <c r="A127" s="18"/>
      <c r="B127" s="20"/>
      <c r="D127" s="27"/>
      <c r="F127" s="18"/>
    </row>
    <row r="128" spans="1:7" ht="14.25" customHeight="1">
      <c r="A128" s="18"/>
      <c r="B128" s="20"/>
      <c r="D128" s="27"/>
      <c r="F128" s="18"/>
    </row>
    <row r="129" spans="1:6" ht="14.25" customHeight="1">
      <c r="A129" s="18"/>
      <c r="B129" s="20"/>
      <c r="D129" s="27"/>
      <c r="F129" s="18"/>
    </row>
    <row r="130" spans="1:6" ht="14.25" customHeight="1">
      <c r="A130" s="18"/>
      <c r="B130" s="20"/>
      <c r="D130" s="27"/>
      <c r="F130" s="18"/>
    </row>
    <row r="131" spans="1:6" ht="14.25" customHeight="1">
      <c r="A131" s="18"/>
      <c r="B131" s="20"/>
      <c r="D131" s="27"/>
      <c r="F131" s="18"/>
    </row>
    <row r="132" spans="1:6" ht="14.25" customHeight="1">
      <c r="A132" s="18"/>
      <c r="B132" s="20"/>
      <c r="D132" s="27"/>
      <c r="F132" s="18"/>
    </row>
    <row r="133" spans="1:6" ht="14.25" customHeight="1">
      <c r="A133" s="18"/>
      <c r="B133" s="20"/>
      <c r="D133" s="27"/>
      <c r="F133" s="18"/>
    </row>
    <row r="134" spans="1:6" ht="14.25" customHeight="1">
      <c r="A134" s="18"/>
      <c r="B134" s="20"/>
      <c r="D134" s="27"/>
      <c r="F134" s="18"/>
    </row>
    <row r="135" spans="1:6" ht="14.25" customHeight="1">
      <c r="A135" s="18"/>
      <c r="B135" s="20"/>
      <c r="D135" s="27"/>
      <c r="F135" s="18"/>
    </row>
    <row r="136" spans="1:6" ht="14.25" customHeight="1">
      <c r="A136" s="18"/>
      <c r="B136" s="20"/>
      <c r="D136" s="27"/>
      <c r="F136" s="18"/>
    </row>
    <row r="137" spans="1:6" ht="14.25" customHeight="1">
      <c r="A137" s="18"/>
      <c r="B137" s="20"/>
      <c r="D137" s="27"/>
      <c r="F137" s="18"/>
    </row>
    <row r="138" spans="1:6" ht="14.25" customHeight="1">
      <c r="A138" s="18"/>
      <c r="B138" s="20"/>
      <c r="D138" s="27"/>
      <c r="F138" s="18"/>
    </row>
    <row r="139" spans="1:6" ht="14.25" customHeight="1">
      <c r="A139" s="18"/>
      <c r="B139" s="20"/>
      <c r="D139" s="27"/>
      <c r="F139" s="18"/>
    </row>
    <row r="140" spans="1:6" ht="14.25" customHeight="1">
      <c r="A140" s="18"/>
      <c r="B140" s="20"/>
      <c r="D140" s="27"/>
      <c r="F140" s="18"/>
    </row>
    <row r="141" spans="1:6" ht="14.25" customHeight="1">
      <c r="A141" s="18"/>
      <c r="B141" s="20"/>
      <c r="D141" s="27"/>
      <c r="F141" s="18"/>
    </row>
    <row r="142" spans="1:6" ht="14.25" customHeight="1">
      <c r="A142" s="18"/>
      <c r="B142" s="20"/>
      <c r="D142" s="27"/>
      <c r="F142" s="18"/>
    </row>
    <row r="143" spans="1:6" ht="14.25" customHeight="1">
      <c r="A143" s="18"/>
      <c r="B143" s="20"/>
      <c r="D143" s="27"/>
      <c r="F143" s="18"/>
    </row>
    <row r="144" spans="1:6" ht="14.25" customHeight="1">
      <c r="A144" s="18"/>
      <c r="B144" s="20"/>
      <c r="D144" s="27"/>
      <c r="F144" s="18"/>
    </row>
    <row r="145" spans="1:6" ht="14.25" customHeight="1">
      <c r="A145" s="18"/>
      <c r="B145" s="20"/>
      <c r="D145" s="27"/>
      <c r="F145" s="18"/>
    </row>
    <row r="146" spans="1:6" ht="14.25" customHeight="1">
      <c r="A146" s="18"/>
      <c r="B146" s="20"/>
      <c r="D146" s="27"/>
      <c r="F146" s="18"/>
    </row>
    <row r="147" spans="1:6" ht="14.25" customHeight="1">
      <c r="A147" s="18"/>
      <c r="B147" s="20"/>
      <c r="D147" s="27"/>
      <c r="F147" s="18"/>
    </row>
    <row r="148" spans="1:6" ht="14.25" customHeight="1">
      <c r="A148" s="18"/>
      <c r="B148" s="20"/>
      <c r="D148" s="27"/>
      <c r="F148" s="18"/>
    </row>
    <row r="149" spans="1:6" ht="14.25" customHeight="1">
      <c r="A149" s="18"/>
      <c r="B149" s="20"/>
      <c r="D149" s="27"/>
      <c r="F149" s="18"/>
    </row>
    <row r="150" spans="1:6" ht="14.25" customHeight="1">
      <c r="A150" s="18"/>
      <c r="B150" s="20"/>
      <c r="D150" s="27"/>
      <c r="F150" s="18"/>
    </row>
    <row r="151" spans="1:6" ht="14.25" customHeight="1">
      <c r="A151" s="18"/>
      <c r="B151" s="20"/>
      <c r="D151" s="27"/>
      <c r="F151" s="18"/>
    </row>
    <row r="152" spans="1:6" ht="14.25" customHeight="1">
      <c r="A152" s="18"/>
      <c r="B152" s="20"/>
      <c r="D152" s="27"/>
      <c r="F152" s="18"/>
    </row>
    <row r="153" spans="1:6" ht="14.25" customHeight="1">
      <c r="A153" s="18"/>
      <c r="B153" s="20"/>
      <c r="D153" s="27"/>
      <c r="F153" s="18"/>
    </row>
    <row r="154" spans="1:6" ht="14.25" customHeight="1">
      <c r="A154" s="18"/>
      <c r="B154" s="20"/>
      <c r="D154" s="27"/>
      <c r="F154" s="18"/>
    </row>
    <row r="155" spans="1:6" ht="14.25" customHeight="1">
      <c r="A155" s="18"/>
      <c r="B155" s="20"/>
      <c r="D155" s="27"/>
      <c r="F155" s="18"/>
    </row>
    <row r="156" spans="1:6" ht="14.25" customHeight="1">
      <c r="A156" s="18"/>
      <c r="B156" s="20"/>
      <c r="D156" s="27"/>
      <c r="F156" s="18"/>
    </row>
    <row r="157" spans="1:6" ht="14.25" customHeight="1">
      <c r="A157" s="18"/>
      <c r="B157" s="20"/>
      <c r="D157" s="27"/>
      <c r="F157" s="18"/>
    </row>
    <row r="158" spans="1:6" ht="14.25" customHeight="1">
      <c r="A158" s="18"/>
      <c r="B158" s="20"/>
      <c r="D158" s="27"/>
      <c r="F158" s="18"/>
    </row>
    <row r="159" spans="1:6" ht="14.25" customHeight="1">
      <c r="A159" s="18"/>
      <c r="B159" s="20"/>
      <c r="D159" s="27"/>
      <c r="F159" s="18"/>
    </row>
    <row r="160" spans="1:6" ht="14.25" customHeight="1">
      <c r="A160" s="18"/>
      <c r="B160" s="20"/>
      <c r="D160" s="27"/>
      <c r="F160" s="18"/>
    </row>
    <row r="161" spans="1:6" ht="14.25" customHeight="1">
      <c r="A161" s="18"/>
      <c r="B161" s="20"/>
      <c r="D161" s="27"/>
      <c r="F161" s="18"/>
    </row>
    <row r="162" spans="1:6" ht="14.25" customHeight="1">
      <c r="A162" s="18"/>
      <c r="B162" s="20"/>
      <c r="D162" s="27"/>
      <c r="F162" s="18"/>
    </row>
    <row r="163" spans="1:6" ht="14.25" customHeight="1">
      <c r="A163" s="18"/>
      <c r="B163" s="20"/>
      <c r="D163" s="27"/>
      <c r="F163" s="18"/>
    </row>
    <row r="164" spans="1:6" ht="14.25" customHeight="1">
      <c r="A164" s="18"/>
      <c r="B164" s="20"/>
      <c r="D164" s="27"/>
      <c r="F164" s="18"/>
    </row>
    <row r="165" spans="1:6" ht="14.25" customHeight="1">
      <c r="A165" s="18"/>
      <c r="B165" s="20"/>
      <c r="D165" s="27"/>
      <c r="F165" s="18"/>
    </row>
    <row r="166" spans="1:6" ht="14.25" customHeight="1">
      <c r="A166" s="18"/>
      <c r="B166" s="20"/>
      <c r="D166" s="27"/>
      <c r="F166" s="18"/>
    </row>
    <row r="167" spans="1:6" ht="14.25" customHeight="1">
      <c r="A167" s="18"/>
      <c r="B167" s="20"/>
      <c r="D167" s="27"/>
      <c r="F167" s="18"/>
    </row>
    <row r="168" spans="1:6" ht="14.25" customHeight="1">
      <c r="A168" s="18"/>
      <c r="B168" s="20"/>
      <c r="D168" s="27"/>
      <c r="F168" s="18"/>
    </row>
    <row r="169" spans="1:6" ht="14.25" customHeight="1">
      <c r="A169" s="18"/>
      <c r="B169" s="20"/>
      <c r="D169" s="27"/>
      <c r="F169" s="18"/>
    </row>
    <row r="170" spans="1:6" ht="14.25" customHeight="1">
      <c r="A170" s="18"/>
      <c r="B170" s="20"/>
      <c r="D170" s="27"/>
      <c r="F170" s="18"/>
    </row>
    <row r="171" spans="1:6" ht="14.25" customHeight="1">
      <c r="A171" s="18"/>
      <c r="B171" s="20"/>
      <c r="D171" s="27"/>
      <c r="F171" s="18"/>
    </row>
    <row r="172" spans="1:6" ht="14.25" customHeight="1">
      <c r="A172" s="18"/>
      <c r="B172" s="20"/>
      <c r="D172" s="27"/>
      <c r="F172" s="18"/>
    </row>
    <row r="173" spans="1:6" ht="14.25" customHeight="1">
      <c r="A173" s="18"/>
      <c r="B173" s="20"/>
      <c r="D173" s="27"/>
      <c r="F173" s="18"/>
    </row>
    <row r="174" spans="1:6" ht="14.25" customHeight="1">
      <c r="A174" s="18"/>
      <c r="B174" s="20"/>
      <c r="D174" s="27"/>
      <c r="F174" s="18"/>
    </row>
    <row r="175" spans="1:6" ht="14.25" customHeight="1">
      <c r="A175" s="18"/>
      <c r="B175" s="20"/>
      <c r="D175" s="27"/>
      <c r="F175" s="18"/>
    </row>
    <row r="176" spans="1:6" ht="14.25" customHeight="1">
      <c r="A176" s="18"/>
      <c r="B176" s="20"/>
      <c r="D176" s="27"/>
      <c r="F176" s="18"/>
    </row>
    <row r="177" spans="1:6" ht="14.25" customHeight="1">
      <c r="A177" s="18"/>
      <c r="B177" s="20"/>
      <c r="D177" s="27"/>
      <c r="F177" s="18"/>
    </row>
    <row r="178" spans="1:6" ht="14.25" customHeight="1">
      <c r="A178" s="18"/>
      <c r="B178" s="20"/>
      <c r="D178" s="27"/>
      <c r="F178" s="18"/>
    </row>
    <row r="179" spans="1:6" ht="14.25" customHeight="1">
      <c r="A179" s="18"/>
      <c r="B179" s="20"/>
      <c r="D179" s="27"/>
      <c r="F179" s="18"/>
    </row>
    <row r="180" spans="1:6" ht="14.25" customHeight="1">
      <c r="A180" s="18"/>
      <c r="B180" s="20"/>
      <c r="D180" s="27"/>
      <c r="F180" s="18"/>
    </row>
    <row r="181" spans="1:6" ht="14.25" customHeight="1">
      <c r="A181" s="18"/>
      <c r="B181" s="20"/>
      <c r="D181" s="27"/>
      <c r="F181" s="18"/>
    </row>
    <row r="182" spans="1:6" ht="14.25" customHeight="1">
      <c r="A182" s="18"/>
      <c r="B182" s="20"/>
      <c r="D182" s="27"/>
      <c r="F182" s="18"/>
    </row>
    <row r="183" spans="1:6" ht="14.25" customHeight="1">
      <c r="A183" s="18"/>
      <c r="B183" s="20"/>
      <c r="D183" s="27"/>
      <c r="F183" s="18"/>
    </row>
    <row r="184" spans="1:6" ht="14.25" customHeight="1">
      <c r="A184" s="18"/>
      <c r="B184" s="20"/>
      <c r="D184" s="27"/>
      <c r="F184" s="18"/>
    </row>
    <row r="185" spans="1:6" ht="14.25" customHeight="1">
      <c r="A185" s="18"/>
      <c r="B185" s="20"/>
      <c r="D185" s="27"/>
      <c r="F185" s="18"/>
    </row>
    <row r="186" spans="1:6" ht="14.25" customHeight="1">
      <c r="A186" s="18"/>
      <c r="B186" s="20"/>
      <c r="D186" s="27"/>
      <c r="F186" s="18"/>
    </row>
    <row r="187" spans="1:6" ht="14.25" customHeight="1">
      <c r="A187" s="18"/>
      <c r="B187" s="20"/>
      <c r="D187" s="27"/>
      <c r="F187" s="18"/>
    </row>
    <row r="188" spans="1:6" ht="14.25" customHeight="1">
      <c r="A188" s="18"/>
      <c r="B188" s="20"/>
      <c r="D188" s="27"/>
      <c r="F188" s="18"/>
    </row>
    <row r="189" spans="1:6" ht="14.25" customHeight="1">
      <c r="A189" s="18"/>
      <c r="B189" s="20"/>
      <c r="D189" s="27"/>
      <c r="F189" s="18"/>
    </row>
    <row r="190" spans="1:6" ht="14.25" customHeight="1">
      <c r="A190" s="18"/>
      <c r="B190" s="20"/>
      <c r="D190" s="27"/>
      <c r="F190" s="18"/>
    </row>
    <row r="191" spans="1:6" ht="14.25" customHeight="1">
      <c r="A191" s="18"/>
      <c r="B191" s="20"/>
      <c r="D191" s="27"/>
      <c r="F191" s="18"/>
    </row>
    <row r="192" spans="1:6" ht="14.25" customHeight="1">
      <c r="A192" s="18"/>
      <c r="B192" s="20"/>
      <c r="D192" s="27"/>
      <c r="F192" s="18"/>
    </row>
    <row r="193" spans="1:6" ht="14.25" customHeight="1">
      <c r="A193" s="18"/>
      <c r="B193" s="20"/>
      <c r="D193" s="27"/>
      <c r="F193" s="18"/>
    </row>
    <row r="194" spans="1:6" ht="14.25" customHeight="1">
      <c r="A194" s="18"/>
      <c r="B194" s="20"/>
      <c r="D194" s="27"/>
      <c r="F194" s="18"/>
    </row>
    <row r="195" spans="1:6" ht="14.25" customHeight="1">
      <c r="A195" s="18"/>
      <c r="B195" s="20"/>
      <c r="D195" s="27"/>
      <c r="F195" s="18"/>
    </row>
    <row r="196" spans="1:6" ht="14.25" customHeight="1">
      <c r="A196" s="18"/>
      <c r="B196" s="20"/>
      <c r="D196" s="27"/>
      <c r="F196" s="18"/>
    </row>
    <row r="197" spans="1:6" ht="14.25" customHeight="1">
      <c r="A197" s="18"/>
      <c r="B197" s="20"/>
      <c r="D197" s="27"/>
      <c r="F197" s="18"/>
    </row>
    <row r="198" spans="1:6" ht="14.25" customHeight="1">
      <c r="A198" s="18"/>
      <c r="B198" s="20"/>
      <c r="D198" s="27"/>
      <c r="F198" s="18"/>
    </row>
    <row r="199" spans="1:6" ht="14.25" customHeight="1">
      <c r="A199" s="18"/>
      <c r="B199" s="20"/>
      <c r="D199" s="27"/>
      <c r="F199" s="18"/>
    </row>
    <row r="200" spans="1:6" ht="14.25" customHeight="1">
      <c r="A200" s="18"/>
      <c r="B200" s="20"/>
      <c r="D200" s="27"/>
      <c r="F200" s="18"/>
    </row>
    <row r="201" spans="1:6" ht="14.25" customHeight="1">
      <c r="A201" s="18"/>
      <c r="B201" s="20"/>
      <c r="D201" s="27"/>
      <c r="F201" s="18"/>
    </row>
    <row r="202" spans="1:6" ht="14.25" customHeight="1">
      <c r="A202" s="18"/>
      <c r="B202" s="20"/>
      <c r="D202" s="27"/>
      <c r="F202" s="18"/>
    </row>
    <row r="203" spans="1:6" ht="14.25" customHeight="1">
      <c r="A203" s="18"/>
      <c r="B203" s="20"/>
      <c r="D203" s="27"/>
      <c r="F203" s="18"/>
    </row>
    <row r="204" spans="1:6" ht="14.25" customHeight="1">
      <c r="A204" s="18"/>
      <c r="B204" s="20"/>
      <c r="D204" s="27"/>
      <c r="F204" s="18"/>
    </row>
    <row r="205" spans="1:6" ht="14.25" customHeight="1">
      <c r="A205" s="18"/>
      <c r="B205" s="20"/>
      <c r="D205" s="27"/>
      <c r="F205" s="18"/>
    </row>
    <row r="206" spans="1:6" ht="14.25" customHeight="1">
      <c r="A206" s="18"/>
      <c r="B206" s="20"/>
      <c r="D206" s="27"/>
      <c r="F206" s="18"/>
    </row>
    <row r="207" spans="1:6" ht="14.25" customHeight="1">
      <c r="A207" s="18"/>
      <c r="B207" s="20"/>
      <c r="D207" s="27"/>
      <c r="F207" s="18"/>
    </row>
    <row r="208" spans="1:6" ht="14.25" customHeight="1">
      <c r="A208" s="18"/>
      <c r="B208" s="20"/>
      <c r="D208" s="27"/>
      <c r="F208" s="18"/>
    </row>
    <row r="209" spans="1:6" ht="14.25" customHeight="1">
      <c r="A209" s="18"/>
      <c r="B209" s="20"/>
      <c r="D209" s="27"/>
      <c r="F209" s="18"/>
    </row>
    <row r="210" spans="1:6" ht="14.25" customHeight="1">
      <c r="A210" s="18"/>
      <c r="B210" s="20"/>
      <c r="D210" s="27"/>
      <c r="F210" s="18"/>
    </row>
    <row r="211" spans="1:6" ht="14.25" customHeight="1">
      <c r="A211" s="18"/>
      <c r="B211" s="20"/>
      <c r="D211" s="27"/>
      <c r="F211" s="18"/>
    </row>
    <row r="212" spans="1:6" ht="14.25" customHeight="1">
      <c r="A212" s="18"/>
      <c r="B212" s="20"/>
      <c r="D212" s="27"/>
      <c r="F212" s="18"/>
    </row>
    <row r="213" spans="1:6" ht="14.25" customHeight="1">
      <c r="A213" s="18"/>
      <c r="B213" s="20"/>
      <c r="D213" s="27"/>
      <c r="F213" s="18"/>
    </row>
    <row r="214" spans="1:6" ht="14.25" customHeight="1">
      <c r="A214" s="18"/>
      <c r="B214" s="20"/>
      <c r="D214" s="27"/>
      <c r="F214" s="18"/>
    </row>
    <row r="215" spans="1:6" ht="14.25" customHeight="1">
      <c r="A215" s="18"/>
      <c r="B215" s="20"/>
      <c r="D215" s="27"/>
      <c r="F215" s="18"/>
    </row>
    <row r="216" spans="1:6" ht="14.25" customHeight="1">
      <c r="A216" s="18"/>
      <c r="B216" s="20"/>
      <c r="D216" s="27"/>
      <c r="F216" s="18"/>
    </row>
    <row r="217" spans="1:6" ht="14.25" customHeight="1">
      <c r="A217" s="18"/>
      <c r="B217" s="20"/>
      <c r="D217" s="27"/>
      <c r="F217" s="18"/>
    </row>
    <row r="218" spans="1:6" ht="14.25" customHeight="1">
      <c r="A218" s="18"/>
      <c r="B218" s="20"/>
      <c r="D218" s="27"/>
      <c r="F218" s="18"/>
    </row>
    <row r="219" spans="1:6" ht="14.25" customHeight="1">
      <c r="A219" s="18"/>
      <c r="B219" s="20"/>
      <c r="D219" s="27"/>
      <c r="F219" s="18"/>
    </row>
    <row r="220" spans="1:6" ht="14.25" customHeight="1">
      <c r="A220" s="18"/>
      <c r="B220" s="20"/>
      <c r="D220" s="27"/>
      <c r="F220" s="18"/>
    </row>
    <row r="221" spans="1:6" ht="14.25" customHeight="1">
      <c r="A221" s="18"/>
      <c r="B221" s="20"/>
      <c r="D221" s="27"/>
      <c r="F221" s="18"/>
    </row>
    <row r="222" spans="1:6" ht="14.25" customHeight="1">
      <c r="A222" s="18"/>
      <c r="B222" s="20"/>
      <c r="D222" s="27"/>
      <c r="F222" s="18"/>
    </row>
    <row r="223" spans="1:6" ht="14.25" customHeight="1">
      <c r="A223" s="18"/>
      <c r="B223" s="20"/>
      <c r="D223" s="27"/>
      <c r="F223" s="18"/>
    </row>
    <row r="224" spans="1:6" ht="14.25" customHeight="1">
      <c r="A224" s="18"/>
      <c r="B224" s="20"/>
      <c r="D224" s="27"/>
      <c r="F224" s="18"/>
    </row>
    <row r="225" spans="1:6" ht="14.25" customHeight="1">
      <c r="A225" s="18"/>
      <c r="B225" s="20"/>
      <c r="D225" s="27"/>
      <c r="F225" s="18"/>
    </row>
    <row r="226" spans="1:6" ht="14.25" customHeight="1">
      <c r="A226" s="18"/>
      <c r="B226" s="20"/>
      <c r="D226" s="27"/>
      <c r="F226" s="18"/>
    </row>
    <row r="227" spans="1:6" ht="14.25" customHeight="1">
      <c r="A227" s="18"/>
      <c r="B227" s="20"/>
      <c r="D227" s="27"/>
      <c r="F227" s="18"/>
    </row>
    <row r="228" spans="1:6" ht="14.25" customHeight="1">
      <c r="A228" s="18"/>
      <c r="B228" s="20"/>
      <c r="D228" s="27"/>
      <c r="F228" s="18"/>
    </row>
    <row r="229" spans="1:6" ht="14.25" customHeight="1">
      <c r="A229" s="18"/>
      <c r="B229" s="20"/>
      <c r="D229" s="27"/>
      <c r="F229" s="18"/>
    </row>
    <row r="230" spans="1:6" ht="14.25" customHeight="1">
      <c r="A230" s="18"/>
      <c r="B230" s="20"/>
      <c r="D230" s="27"/>
      <c r="F230" s="18"/>
    </row>
    <row r="231" spans="1:6" ht="14.25" customHeight="1">
      <c r="A231" s="18"/>
      <c r="B231" s="20"/>
      <c r="D231" s="27"/>
      <c r="F231" s="18"/>
    </row>
    <row r="232" spans="1:6" ht="14.25" customHeight="1">
      <c r="A232" s="18"/>
      <c r="B232" s="20"/>
      <c r="D232" s="27"/>
      <c r="F232" s="18"/>
    </row>
    <row r="233" spans="1:6" ht="14.25" customHeight="1">
      <c r="A233" s="18"/>
      <c r="B233" s="20"/>
      <c r="D233" s="27"/>
      <c r="F233" s="18"/>
    </row>
    <row r="234" spans="1:6" ht="14.25" customHeight="1">
      <c r="A234" s="18"/>
      <c r="B234" s="20"/>
      <c r="D234" s="27"/>
      <c r="F234" s="18"/>
    </row>
    <row r="235" spans="1:6" ht="14.25" customHeight="1">
      <c r="A235" s="18"/>
      <c r="B235" s="20"/>
      <c r="D235" s="27"/>
      <c r="F235" s="18"/>
    </row>
    <row r="236" spans="1:6" ht="14.25" customHeight="1">
      <c r="A236" s="18"/>
      <c r="B236" s="20"/>
      <c r="D236" s="27"/>
      <c r="F236" s="18"/>
    </row>
    <row r="237" spans="1:6" ht="14.25" customHeight="1">
      <c r="A237" s="18"/>
      <c r="B237" s="20"/>
      <c r="D237" s="27"/>
      <c r="F237" s="18"/>
    </row>
    <row r="238" spans="1:6" ht="14.25" customHeight="1">
      <c r="A238" s="18"/>
      <c r="B238" s="20"/>
      <c r="D238" s="27"/>
      <c r="F238" s="18"/>
    </row>
    <row r="239" spans="1:6" ht="14.25" customHeight="1">
      <c r="A239" s="18"/>
      <c r="B239" s="20"/>
      <c r="D239" s="27"/>
      <c r="F239" s="18"/>
    </row>
    <row r="240" spans="1:6" ht="14.25" customHeight="1">
      <c r="A240" s="18"/>
      <c r="B240" s="20"/>
      <c r="D240" s="27"/>
      <c r="F240" s="18"/>
    </row>
    <row r="241" spans="1:6" ht="14.25" customHeight="1">
      <c r="A241" s="18"/>
      <c r="B241" s="20"/>
      <c r="D241" s="27"/>
      <c r="F241" s="18"/>
    </row>
    <row r="242" spans="1:6" ht="14.25" customHeight="1">
      <c r="A242" s="18"/>
      <c r="B242" s="20"/>
      <c r="D242" s="27"/>
      <c r="F242" s="18"/>
    </row>
    <row r="243" spans="1:6" ht="14.25" customHeight="1">
      <c r="A243" s="18"/>
      <c r="B243" s="20"/>
      <c r="D243" s="27"/>
      <c r="F243" s="18"/>
    </row>
    <row r="244" spans="1:6" ht="14.25" customHeight="1">
      <c r="A244" s="18"/>
      <c r="B244" s="20"/>
      <c r="D244" s="27"/>
      <c r="F244" s="18"/>
    </row>
    <row r="245" spans="1:6" ht="14.25" customHeight="1">
      <c r="A245" s="18"/>
      <c r="B245" s="20"/>
      <c r="D245" s="27"/>
      <c r="F245" s="18"/>
    </row>
    <row r="246" spans="1:6" ht="14.25" customHeight="1">
      <c r="A246" s="18"/>
      <c r="B246" s="20"/>
      <c r="D246" s="27"/>
      <c r="F246" s="18"/>
    </row>
    <row r="247" spans="1:6" ht="14.25" customHeight="1">
      <c r="A247" s="18"/>
      <c r="B247" s="20"/>
      <c r="D247" s="27"/>
      <c r="F247" s="18"/>
    </row>
    <row r="248" spans="1:6" ht="14.25" customHeight="1">
      <c r="A248" s="18"/>
      <c r="B248" s="20"/>
      <c r="D248" s="27"/>
      <c r="F248" s="18"/>
    </row>
    <row r="249" spans="1:6" ht="14.25" customHeight="1">
      <c r="A249" s="18"/>
      <c r="B249" s="20"/>
      <c r="D249" s="27"/>
      <c r="F249" s="18"/>
    </row>
    <row r="250" spans="1:6" ht="14.25" customHeight="1">
      <c r="A250" s="18"/>
      <c r="B250" s="20"/>
      <c r="D250" s="27"/>
      <c r="F250" s="18"/>
    </row>
    <row r="251" spans="1:6" ht="14.25" customHeight="1">
      <c r="A251" s="18"/>
      <c r="B251" s="20"/>
      <c r="D251" s="27"/>
      <c r="F251" s="18"/>
    </row>
    <row r="252" spans="1:6" ht="14.25" customHeight="1">
      <c r="A252" s="18"/>
      <c r="B252" s="20"/>
      <c r="D252" s="27"/>
      <c r="F252" s="18"/>
    </row>
    <row r="253" spans="1:6" ht="14.25" customHeight="1">
      <c r="A253" s="18"/>
      <c r="B253" s="20"/>
      <c r="D253" s="27"/>
      <c r="F253" s="18"/>
    </row>
    <row r="254" spans="1:6" ht="14.25" customHeight="1">
      <c r="A254" s="18"/>
      <c r="B254" s="20"/>
      <c r="D254" s="27"/>
      <c r="F254" s="18"/>
    </row>
    <row r="255" spans="1:6" ht="14.25" customHeight="1">
      <c r="A255" s="18"/>
      <c r="B255" s="20"/>
      <c r="D255" s="27"/>
      <c r="F255" s="18"/>
    </row>
    <row r="256" spans="1:6" ht="14.25" customHeight="1">
      <c r="A256" s="18"/>
      <c r="B256" s="20"/>
      <c r="D256" s="27"/>
      <c r="F256" s="18"/>
    </row>
    <row r="257" spans="1:6" ht="14.25" customHeight="1">
      <c r="A257" s="18"/>
      <c r="B257" s="20"/>
      <c r="D257" s="27"/>
      <c r="F257" s="18"/>
    </row>
    <row r="258" spans="1:6" ht="14.25" customHeight="1">
      <c r="A258" s="18"/>
      <c r="B258" s="20"/>
      <c r="D258" s="27"/>
      <c r="F258" s="18"/>
    </row>
    <row r="259" spans="1:6" ht="14.25" customHeight="1">
      <c r="A259" s="18"/>
      <c r="B259" s="20"/>
      <c r="D259" s="27"/>
      <c r="F259" s="18"/>
    </row>
    <row r="260" spans="1:6" ht="14.25" customHeight="1">
      <c r="A260" s="18"/>
      <c r="B260" s="20"/>
      <c r="D260" s="27"/>
      <c r="F260" s="18"/>
    </row>
    <row r="261" spans="1:6" ht="14.25" customHeight="1">
      <c r="A261" s="18"/>
      <c r="B261" s="20"/>
      <c r="D261" s="27"/>
      <c r="F261" s="18"/>
    </row>
    <row r="262" spans="1:6" ht="14.25" customHeight="1">
      <c r="A262" s="18"/>
      <c r="B262" s="20"/>
      <c r="D262" s="27"/>
      <c r="F262" s="18"/>
    </row>
    <row r="263" spans="1:6" ht="14.25" customHeight="1">
      <c r="A263" s="18"/>
      <c r="B263" s="20"/>
      <c r="D263" s="27"/>
      <c r="F263" s="18"/>
    </row>
    <row r="264" spans="1:6" ht="14.25" customHeight="1">
      <c r="A264" s="18"/>
      <c r="B264" s="20"/>
      <c r="D264" s="27"/>
      <c r="F264" s="18"/>
    </row>
    <row r="265" spans="1:6" ht="14.25" customHeight="1">
      <c r="A265" s="18"/>
      <c r="B265" s="20"/>
      <c r="D265" s="27"/>
      <c r="F265" s="18"/>
    </row>
    <row r="266" spans="1:6" ht="14.25" customHeight="1">
      <c r="A266" s="18"/>
      <c r="B266" s="20"/>
      <c r="D266" s="27"/>
      <c r="F266" s="18"/>
    </row>
    <row r="267" spans="1:6" ht="14.25" customHeight="1">
      <c r="A267" s="18"/>
      <c r="B267" s="20"/>
      <c r="D267" s="27"/>
      <c r="F267" s="18"/>
    </row>
    <row r="268" spans="1:6" ht="14.25" customHeight="1">
      <c r="A268" s="18"/>
      <c r="B268" s="20"/>
      <c r="D268" s="27"/>
      <c r="F268" s="18"/>
    </row>
    <row r="269" spans="1:6" ht="14.25" customHeight="1">
      <c r="A269" s="18"/>
      <c r="B269" s="20"/>
      <c r="D269" s="27"/>
      <c r="F269" s="18"/>
    </row>
    <row r="270" spans="1:6" ht="14.25" customHeight="1">
      <c r="A270" s="18"/>
      <c r="B270" s="20"/>
      <c r="D270" s="27"/>
      <c r="F270" s="18"/>
    </row>
    <row r="271" spans="1:6" ht="14.25" customHeight="1">
      <c r="A271" s="18"/>
      <c r="B271" s="20"/>
      <c r="D271" s="27"/>
      <c r="F271" s="18"/>
    </row>
    <row r="272" spans="1:6" ht="14.25" customHeight="1">
      <c r="A272" s="18"/>
      <c r="B272" s="20"/>
      <c r="D272" s="27"/>
      <c r="F272" s="18"/>
    </row>
    <row r="273" spans="1:6" ht="14.25" customHeight="1">
      <c r="A273" s="18"/>
      <c r="B273" s="20"/>
      <c r="D273" s="27"/>
      <c r="F273" s="18"/>
    </row>
    <row r="274" spans="1:6" ht="14.25" customHeight="1">
      <c r="A274" s="18"/>
      <c r="B274" s="20"/>
      <c r="D274" s="27"/>
      <c r="F274" s="18"/>
    </row>
    <row r="275" spans="1:6" ht="14.25" customHeight="1">
      <c r="A275" s="18"/>
      <c r="B275" s="20"/>
      <c r="D275" s="27"/>
      <c r="F275" s="18"/>
    </row>
    <row r="276" spans="1:6" ht="14.25" customHeight="1">
      <c r="A276" s="18"/>
      <c r="B276" s="20"/>
      <c r="D276" s="27"/>
      <c r="F276" s="18"/>
    </row>
    <row r="277" spans="1:6" ht="14.25" customHeight="1">
      <c r="A277" s="18"/>
      <c r="B277" s="20"/>
      <c r="D277" s="27"/>
      <c r="F277" s="18"/>
    </row>
    <row r="278" spans="1:6" ht="14.25" customHeight="1">
      <c r="A278" s="18"/>
      <c r="B278" s="20"/>
      <c r="D278" s="27"/>
      <c r="F278" s="18"/>
    </row>
    <row r="279" spans="1:6" ht="14.25" customHeight="1">
      <c r="A279" s="18"/>
      <c r="B279" s="20"/>
      <c r="D279" s="27"/>
      <c r="F279" s="18"/>
    </row>
    <row r="280" spans="1:6" ht="14.25" customHeight="1">
      <c r="A280" s="18"/>
      <c r="B280" s="20"/>
      <c r="D280" s="27"/>
      <c r="F280" s="18"/>
    </row>
    <row r="281" spans="1:6" ht="14.25" customHeight="1">
      <c r="A281" s="18"/>
      <c r="B281" s="20"/>
      <c r="D281" s="27"/>
      <c r="F281" s="18"/>
    </row>
    <row r="282" spans="1:6" ht="14.25" customHeight="1">
      <c r="A282" s="18"/>
      <c r="B282" s="20"/>
      <c r="D282" s="27"/>
      <c r="F282" s="18"/>
    </row>
    <row r="283" spans="1:6" ht="14.25" customHeight="1">
      <c r="A283" s="18"/>
      <c r="B283" s="20"/>
      <c r="D283" s="27"/>
      <c r="F283" s="18"/>
    </row>
    <row r="284" spans="1:6" ht="14.25" customHeight="1">
      <c r="A284" s="18"/>
      <c r="B284" s="20"/>
      <c r="D284" s="27"/>
      <c r="F284" s="18"/>
    </row>
    <row r="285" spans="1:6" ht="14.25" customHeight="1">
      <c r="A285" s="18"/>
      <c r="B285" s="20"/>
      <c r="D285" s="27"/>
      <c r="F285" s="18"/>
    </row>
    <row r="286" spans="1:6" ht="14.25" customHeight="1">
      <c r="A286" s="18"/>
      <c r="B286" s="20"/>
      <c r="D286" s="27"/>
      <c r="F286" s="18"/>
    </row>
    <row r="287" spans="1:6" ht="14.25" customHeight="1">
      <c r="A287" s="18"/>
      <c r="B287" s="20"/>
      <c r="D287" s="27"/>
      <c r="F287" s="18"/>
    </row>
    <row r="288" spans="1:6" ht="14.25" customHeight="1">
      <c r="A288" s="18"/>
      <c r="B288" s="20"/>
      <c r="D288" s="27"/>
      <c r="F288" s="18"/>
    </row>
    <row r="289" spans="1:6" ht="14.25" customHeight="1">
      <c r="A289" s="18"/>
      <c r="B289" s="20"/>
      <c r="D289" s="27"/>
      <c r="F289" s="18"/>
    </row>
    <row r="290" spans="1:6" ht="14.25" customHeight="1">
      <c r="A290" s="18"/>
      <c r="B290" s="20"/>
      <c r="D290" s="27"/>
      <c r="F290" s="18"/>
    </row>
    <row r="291" spans="1:6" ht="14.25" customHeight="1">
      <c r="A291" s="18"/>
      <c r="B291" s="20"/>
      <c r="D291" s="27"/>
      <c r="F291" s="18"/>
    </row>
    <row r="292" spans="1:6" ht="14.25" customHeight="1">
      <c r="A292" s="18"/>
      <c r="B292" s="20"/>
      <c r="D292" s="27"/>
      <c r="F292" s="18"/>
    </row>
    <row r="293" spans="1:6" ht="14.25" customHeight="1">
      <c r="A293" s="18"/>
      <c r="B293" s="20"/>
      <c r="D293" s="27"/>
      <c r="F293" s="18"/>
    </row>
    <row r="294" spans="1:6" ht="14.25" customHeight="1">
      <c r="A294" s="18"/>
      <c r="B294" s="20"/>
      <c r="D294" s="27"/>
      <c r="F294" s="18"/>
    </row>
    <row r="295" spans="1:6" ht="14.25" customHeight="1">
      <c r="A295" s="18"/>
      <c r="B295" s="20"/>
      <c r="D295" s="27"/>
      <c r="F295" s="18"/>
    </row>
    <row r="296" spans="1:6" ht="14.25" customHeight="1">
      <c r="A296" s="18"/>
      <c r="B296" s="20"/>
      <c r="D296" s="27"/>
      <c r="F296" s="18"/>
    </row>
    <row r="297" spans="1:6" ht="14.25" customHeight="1">
      <c r="A297" s="18"/>
      <c r="B297" s="20"/>
      <c r="D297" s="27"/>
      <c r="F297" s="18"/>
    </row>
    <row r="298" spans="1:6" ht="14.25" customHeight="1">
      <c r="A298" s="18"/>
      <c r="B298" s="20"/>
      <c r="D298" s="27"/>
      <c r="F298" s="18"/>
    </row>
    <row r="299" spans="1:6" ht="14.25" customHeight="1">
      <c r="A299" s="18"/>
      <c r="B299" s="20"/>
      <c r="D299" s="27"/>
      <c r="F299" s="18"/>
    </row>
    <row r="300" spans="1:6" ht="14.25" customHeight="1">
      <c r="A300" s="18"/>
      <c r="B300" s="20"/>
      <c r="D300" s="27"/>
      <c r="F300" s="18"/>
    </row>
    <row r="301" spans="1:6" ht="14.25" customHeight="1">
      <c r="A301" s="18"/>
      <c r="B301" s="20"/>
      <c r="D301" s="27"/>
      <c r="F301" s="18"/>
    </row>
    <row r="302" spans="1:6" ht="14.25" customHeight="1">
      <c r="A302" s="18"/>
      <c r="B302" s="20"/>
      <c r="D302" s="27"/>
      <c r="F302" s="18"/>
    </row>
    <row r="303" spans="1:6" ht="14.25" customHeight="1">
      <c r="A303" s="18"/>
      <c r="B303" s="20"/>
      <c r="D303" s="27"/>
      <c r="F303" s="18"/>
    </row>
    <row r="304" spans="1:6" ht="14.25" customHeight="1">
      <c r="A304" s="18"/>
      <c r="B304" s="20"/>
      <c r="D304" s="27"/>
      <c r="F304" s="18"/>
    </row>
    <row r="305" spans="1:6" ht="14.25" customHeight="1">
      <c r="A305" s="18"/>
      <c r="B305" s="20"/>
      <c r="D305" s="27"/>
      <c r="F305" s="18"/>
    </row>
    <row r="306" spans="1:6" ht="14.25" customHeight="1">
      <c r="A306" s="18"/>
      <c r="B306" s="20"/>
      <c r="D306" s="27"/>
      <c r="F306" s="18"/>
    </row>
    <row r="307" spans="1:6" ht="14.25" customHeight="1">
      <c r="A307" s="18"/>
      <c r="B307" s="20"/>
      <c r="D307" s="27"/>
      <c r="F307" s="18"/>
    </row>
    <row r="308" spans="1:6" ht="14.25" customHeight="1">
      <c r="A308" s="18"/>
      <c r="B308" s="20"/>
      <c r="D308" s="27"/>
      <c r="F308" s="18"/>
    </row>
    <row r="309" spans="1:6" ht="14.25" customHeight="1">
      <c r="A309" s="18"/>
      <c r="B309" s="20"/>
      <c r="D309" s="27"/>
      <c r="F309" s="18"/>
    </row>
    <row r="310" spans="1:6" ht="14.25" customHeight="1">
      <c r="A310" s="18"/>
      <c r="B310" s="20"/>
      <c r="D310" s="27"/>
      <c r="F310" s="18"/>
    </row>
    <row r="311" spans="1:6" ht="14.25" customHeight="1">
      <c r="A311" s="18"/>
      <c r="B311" s="20"/>
      <c r="D311" s="27"/>
      <c r="F311" s="18"/>
    </row>
    <row r="312" spans="1:6" ht="14.25" customHeight="1">
      <c r="A312" s="18"/>
      <c r="B312" s="20"/>
      <c r="D312" s="27"/>
      <c r="F312" s="18"/>
    </row>
    <row r="313" spans="1:6" ht="14.25" customHeight="1">
      <c r="A313" s="18"/>
      <c r="B313" s="20"/>
      <c r="D313" s="27"/>
      <c r="F313" s="18"/>
    </row>
    <row r="314" spans="1:6" ht="14.25" customHeight="1">
      <c r="A314" s="18"/>
      <c r="B314" s="20"/>
      <c r="D314" s="27"/>
      <c r="F314" s="18"/>
    </row>
    <row r="315" spans="1:6" ht="14.25" customHeight="1">
      <c r="A315" s="18"/>
      <c r="B315" s="20"/>
      <c r="D315" s="27"/>
      <c r="F315" s="18"/>
    </row>
    <row r="316" spans="1:6" ht="14.25" customHeight="1">
      <c r="A316" s="18"/>
      <c r="B316" s="20"/>
      <c r="D316" s="27"/>
      <c r="F316" s="18"/>
    </row>
    <row r="317" spans="1:6" ht="14.25" customHeight="1">
      <c r="A317" s="18"/>
      <c r="B317" s="20"/>
      <c r="D317" s="27"/>
      <c r="F317" s="18"/>
    </row>
    <row r="318" spans="1:6" ht="14.25" customHeight="1">
      <c r="A318" s="18"/>
      <c r="B318" s="20"/>
      <c r="D318" s="27"/>
      <c r="F318" s="18"/>
    </row>
    <row r="319" spans="1:6" ht="14.25" customHeight="1">
      <c r="A319" s="18"/>
      <c r="B319" s="20"/>
      <c r="D319" s="27"/>
      <c r="F319" s="18"/>
    </row>
    <row r="320" spans="1:6" ht="14.25" customHeight="1">
      <c r="A320" s="18"/>
      <c r="B320" s="20"/>
      <c r="D320" s="27"/>
      <c r="F320" s="18"/>
    </row>
    <row r="321" spans="1:6" ht="14.25" customHeight="1">
      <c r="A321" s="18"/>
      <c r="B321" s="20"/>
      <c r="D321" s="27"/>
      <c r="F321" s="18"/>
    </row>
    <row r="322" spans="1:6" ht="14.25" customHeight="1">
      <c r="A322" s="18"/>
      <c r="B322" s="20"/>
      <c r="D322" s="27"/>
      <c r="F322" s="18"/>
    </row>
    <row r="323" spans="1:6" ht="14.25" customHeight="1">
      <c r="A323" s="18"/>
      <c r="B323" s="20"/>
      <c r="D323" s="27"/>
      <c r="F323" s="18"/>
    </row>
    <row r="324" spans="1:6" ht="14.25" customHeight="1">
      <c r="A324" s="18"/>
      <c r="B324" s="20"/>
      <c r="D324" s="27"/>
      <c r="F324" s="18"/>
    </row>
    <row r="325" spans="1:6" ht="14.25" customHeight="1">
      <c r="A325" s="18"/>
      <c r="B325" s="20"/>
      <c r="D325" s="27"/>
      <c r="F325" s="18"/>
    </row>
    <row r="326" spans="1:6" ht="14.25" customHeight="1">
      <c r="A326" s="18"/>
      <c r="B326" s="20"/>
      <c r="D326" s="27"/>
      <c r="F326" s="18"/>
    </row>
    <row r="327" spans="1:6" ht="14.25" customHeight="1">
      <c r="A327" s="18"/>
      <c r="B327" s="20"/>
      <c r="D327" s="27"/>
      <c r="F327" s="18"/>
    </row>
    <row r="328" spans="1:6" ht="14.25" customHeight="1">
      <c r="A328" s="18"/>
      <c r="B328" s="20"/>
      <c r="D328" s="27"/>
      <c r="F328" s="18"/>
    </row>
    <row r="329" spans="1:6" ht="14.25" customHeight="1">
      <c r="A329" s="18"/>
      <c r="B329" s="20"/>
      <c r="D329" s="27"/>
      <c r="F329" s="18"/>
    </row>
    <row r="330" spans="1:6" ht="14.25" customHeight="1">
      <c r="A330" s="18"/>
      <c r="B330" s="20"/>
      <c r="D330" s="27"/>
      <c r="F330" s="18"/>
    </row>
    <row r="331" spans="1:6" ht="14.25" customHeight="1">
      <c r="A331" s="18"/>
      <c r="B331" s="20"/>
      <c r="D331" s="27"/>
      <c r="F331" s="18"/>
    </row>
    <row r="332" spans="1:6" ht="14.25" customHeight="1">
      <c r="A332" s="18"/>
      <c r="B332" s="20"/>
      <c r="D332" s="27"/>
      <c r="F332" s="18"/>
    </row>
    <row r="333" spans="1:6" ht="14.25" customHeight="1">
      <c r="A333" s="18"/>
      <c r="B333" s="20"/>
      <c r="D333" s="27"/>
      <c r="F333" s="18"/>
    </row>
    <row r="334" spans="1:6" ht="14.25" customHeight="1">
      <c r="A334" s="18"/>
      <c r="B334" s="20"/>
      <c r="D334" s="27"/>
      <c r="F334" s="18"/>
    </row>
    <row r="335" spans="1:6" ht="14.25" customHeight="1">
      <c r="A335" s="18"/>
      <c r="B335" s="20"/>
      <c r="D335" s="27"/>
      <c r="F335" s="18"/>
    </row>
    <row r="336" spans="1:6" ht="14.25" customHeight="1">
      <c r="A336" s="18"/>
      <c r="B336" s="20"/>
      <c r="D336" s="27"/>
      <c r="F336" s="18"/>
    </row>
    <row r="337" spans="1:6" ht="14.25" customHeight="1">
      <c r="A337" s="18"/>
      <c r="B337" s="20"/>
      <c r="D337" s="27"/>
      <c r="F337" s="18"/>
    </row>
    <row r="338" spans="1:6" ht="14.25" customHeight="1">
      <c r="A338" s="18"/>
      <c r="B338" s="20"/>
      <c r="D338" s="27"/>
      <c r="F338" s="18"/>
    </row>
    <row r="339" spans="1:6" ht="14.25" customHeight="1">
      <c r="A339" s="18"/>
      <c r="B339" s="20"/>
      <c r="D339" s="27"/>
      <c r="F339" s="18"/>
    </row>
    <row r="340" spans="1:6" ht="14.25" customHeight="1">
      <c r="A340" s="18"/>
      <c r="B340" s="20"/>
      <c r="D340" s="27"/>
      <c r="F340" s="18"/>
    </row>
    <row r="341" spans="1:6" ht="14.25" customHeight="1">
      <c r="A341" s="18"/>
      <c r="B341" s="20"/>
      <c r="D341" s="27"/>
      <c r="F341" s="18"/>
    </row>
    <row r="342" spans="1:6" ht="14.25" customHeight="1">
      <c r="A342" s="18"/>
      <c r="B342" s="20"/>
      <c r="D342" s="27"/>
      <c r="F342" s="18"/>
    </row>
    <row r="343" spans="1:6" ht="14.25" customHeight="1">
      <c r="A343" s="18"/>
      <c r="B343" s="20"/>
      <c r="D343" s="27"/>
      <c r="F343" s="18"/>
    </row>
    <row r="344" spans="1:6" ht="14.25" customHeight="1">
      <c r="A344" s="18"/>
      <c r="B344" s="20"/>
      <c r="D344" s="27"/>
      <c r="F344" s="18"/>
    </row>
    <row r="345" spans="1:6" ht="14.25" customHeight="1">
      <c r="A345" s="18"/>
      <c r="B345" s="20"/>
      <c r="D345" s="27"/>
      <c r="F345" s="18"/>
    </row>
    <row r="346" spans="1:6" ht="14.25" customHeight="1">
      <c r="A346" s="18"/>
      <c r="B346" s="20"/>
      <c r="D346" s="27"/>
      <c r="F346" s="18"/>
    </row>
    <row r="347" spans="1:6" ht="14.25" customHeight="1">
      <c r="A347" s="18"/>
      <c r="B347" s="20"/>
      <c r="D347" s="27"/>
      <c r="F347" s="18"/>
    </row>
    <row r="348" spans="1:6" ht="14.25" customHeight="1">
      <c r="A348" s="18"/>
      <c r="B348" s="20"/>
      <c r="D348" s="27"/>
      <c r="F348" s="18"/>
    </row>
    <row r="349" spans="1:6" ht="14.25" customHeight="1">
      <c r="A349" s="18"/>
      <c r="B349" s="20"/>
      <c r="D349" s="27"/>
      <c r="F349" s="18"/>
    </row>
    <row r="350" spans="1:6" ht="14.25" customHeight="1">
      <c r="A350" s="18"/>
      <c r="B350" s="20"/>
      <c r="D350" s="27"/>
      <c r="F350" s="18"/>
    </row>
    <row r="351" spans="1:6" ht="14.25" customHeight="1">
      <c r="A351" s="18"/>
      <c r="B351" s="20"/>
      <c r="D351" s="27"/>
      <c r="F351" s="18"/>
    </row>
    <row r="352" spans="1:6" ht="14.25" customHeight="1">
      <c r="A352" s="18"/>
      <c r="B352" s="20"/>
      <c r="D352" s="27"/>
      <c r="F352" s="18"/>
    </row>
    <row r="353" spans="1:6" ht="14.25" customHeight="1">
      <c r="A353" s="18"/>
      <c r="B353" s="20"/>
      <c r="D353" s="27"/>
      <c r="F353" s="18"/>
    </row>
    <row r="354" spans="1:6" ht="14.25" customHeight="1">
      <c r="A354" s="18"/>
      <c r="B354" s="20"/>
      <c r="D354" s="27"/>
      <c r="F354" s="18"/>
    </row>
    <row r="355" spans="1:6" ht="14.25" customHeight="1">
      <c r="A355" s="18"/>
      <c r="B355" s="20"/>
      <c r="D355" s="27"/>
      <c r="F355" s="18"/>
    </row>
    <row r="356" spans="1:6" ht="14.25" customHeight="1">
      <c r="A356" s="18"/>
      <c r="B356" s="20"/>
      <c r="D356" s="27"/>
      <c r="F356" s="18"/>
    </row>
    <row r="357" spans="1:6" ht="14.25" customHeight="1">
      <c r="A357" s="18"/>
      <c r="B357" s="20"/>
      <c r="D357" s="27"/>
      <c r="F357" s="18"/>
    </row>
    <row r="358" spans="1:6" ht="14.25" customHeight="1">
      <c r="A358" s="18"/>
      <c r="B358" s="20"/>
      <c r="D358" s="27"/>
      <c r="F358" s="18"/>
    </row>
    <row r="359" spans="1:6" ht="14.25" customHeight="1">
      <c r="A359" s="18"/>
      <c r="B359" s="20"/>
      <c r="D359" s="27"/>
      <c r="F359" s="18"/>
    </row>
    <row r="360" spans="1:6" ht="14.25" customHeight="1">
      <c r="A360" s="18"/>
      <c r="B360" s="20"/>
      <c r="D360" s="27"/>
      <c r="F360" s="18"/>
    </row>
    <row r="361" spans="1:6" ht="14.25" customHeight="1">
      <c r="A361" s="18"/>
      <c r="B361" s="20"/>
      <c r="D361" s="27"/>
      <c r="F361" s="18"/>
    </row>
    <row r="362" spans="1:6" ht="14.25" customHeight="1">
      <c r="A362" s="18"/>
      <c r="B362" s="20"/>
      <c r="D362" s="27"/>
      <c r="F362" s="18"/>
    </row>
    <row r="363" spans="1:6" ht="14.25" customHeight="1">
      <c r="A363" s="18"/>
      <c r="B363" s="20"/>
      <c r="D363" s="27"/>
      <c r="F363" s="18"/>
    </row>
    <row r="364" spans="1:6" ht="14.25" customHeight="1">
      <c r="A364" s="18"/>
      <c r="B364" s="20"/>
      <c r="D364" s="27"/>
      <c r="F364" s="18"/>
    </row>
    <row r="365" spans="1:6" ht="14.25" customHeight="1">
      <c r="A365" s="18"/>
      <c r="B365" s="20"/>
      <c r="D365" s="27"/>
      <c r="F365" s="18"/>
    </row>
    <row r="366" spans="1:6" ht="14.25" customHeight="1">
      <c r="A366" s="18"/>
      <c r="B366" s="20"/>
      <c r="D366" s="27"/>
      <c r="F366" s="18"/>
    </row>
    <row r="367" spans="1:6" ht="14.25" customHeight="1">
      <c r="A367" s="18"/>
      <c r="B367" s="20"/>
      <c r="D367" s="27"/>
      <c r="F367" s="18"/>
    </row>
    <row r="368" spans="1:6" ht="14.25" customHeight="1">
      <c r="A368" s="18"/>
      <c r="B368" s="20"/>
      <c r="D368" s="27"/>
      <c r="F368" s="18"/>
    </row>
    <row r="369" spans="1:6" ht="14.25" customHeight="1">
      <c r="A369" s="18"/>
      <c r="B369" s="20"/>
      <c r="D369" s="27"/>
      <c r="F369" s="18"/>
    </row>
    <row r="370" spans="1:6" ht="14.25" customHeight="1">
      <c r="A370" s="18"/>
      <c r="B370" s="20"/>
      <c r="D370" s="27"/>
      <c r="F370" s="18"/>
    </row>
    <row r="371" spans="1:6" ht="14.25" customHeight="1">
      <c r="A371" s="18"/>
      <c r="B371" s="20"/>
      <c r="D371" s="27"/>
      <c r="F371" s="18"/>
    </row>
    <row r="372" spans="1:6" ht="14.25" customHeight="1">
      <c r="A372" s="18"/>
      <c r="B372" s="20"/>
      <c r="D372" s="27"/>
      <c r="F372" s="18"/>
    </row>
    <row r="373" spans="1:6" ht="14.25" customHeight="1">
      <c r="A373" s="18"/>
      <c r="B373" s="20"/>
      <c r="D373" s="27"/>
      <c r="F373" s="18"/>
    </row>
    <row r="374" spans="1:6" ht="14.25" customHeight="1">
      <c r="A374" s="18"/>
      <c r="B374" s="20"/>
      <c r="D374" s="27"/>
      <c r="F374" s="18"/>
    </row>
    <row r="375" spans="1:6" ht="14.25" customHeight="1">
      <c r="A375" s="18"/>
      <c r="B375" s="20"/>
      <c r="D375" s="27"/>
      <c r="F375" s="18"/>
    </row>
    <row r="376" spans="1:6" ht="14.25" customHeight="1">
      <c r="A376" s="18"/>
      <c r="B376" s="20"/>
      <c r="D376" s="27"/>
      <c r="F376" s="18"/>
    </row>
    <row r="377" spans="1:6" ht="14.25" customHeight="1">
      <c r="A377" s="18"/>
      <c r="B377" s="20"/>
      <c r="D377" s="27"/>
      <c r="F377" s="18"/>
    </row>
    <row r="378" spans="1:6" ht="14.25" customHeight="1">
      <c r="A378" s="18"/>
      <c r="B378" s="20"/>
      <c r="D378" s="27"/>
      <c r="F378" s="18"/>
    </row>
    <row r="379" spans="1:6" ht="14.25" customHeight="1">
      <c r="A379" s="18"/>
      <c r="B379" s="20"/>
      <c r="D379" s="27"/>
      <c r="F379" s="18"/>
    </row>
    <row r="380" spans="1:6" ht="14.25" customHeight="1">
      <c r="A380" s="18"/>
      <c r="B380" s="20"/>
      <c r="D380" s="27"/>
      <c r="F380" s="18"/>
    </row>
    <row r="381" spans="1:6" ht="14.25" customHeight="1">
      <c r="A381" s="18"/>
      <c r="B381" s="20"/>
      <c r="D381" s="27"/>
      <c r="F381" s="18"/>
    </row>
    <row r="382" spans="1:6" ht="14.25" customHeight="1">
      <c r="A382" s="18"/>
      <c r="B382" s="20"/>
      <c r="D382" s="27"/>
      <c r="F382" s="18"/>
    </row>
    <row r="383" spans="1:6" ht="14.25" customHeight="1">
      <c r="A383" s="18"/>
      <c r="B383" s="20"/>
      <c r="D383" s="27"/>
      <c r="F383" s="18"/>
    </row>
    <row r="384" spans="1:6" ht="14.25" customHeight="1">
      <c r="A384" s="18"/>
      <c r="B384" s="20"/>
      <c r="D384" s="27"/>
      <c r="F384" s="18"/>
    </row>
    <row r="385" spans="1:6" ht="14.25" customHeight="1">
      <c r="A385" s="18"/>
      <c r="B385" s="20"/>
      <c r="D385" s="27"/>
      <c r="F385" s="18"/>
    </row>
    <row r="386" spans="1:6" ht="14.25" customHeight="1">
      <c r="B386" s="20"/>
      <c r="D386" s="27"/>
      <c r="F386" s="18"/>
    </row>
    <row r="387" spans="1:6" ht="14.25" customHeight="1">
      <c r="B387" s="20"/>
      <c r="D387" s="27"/>
      <c r="F387" s="18"/>
    </row>
    <row r="388" spans="1:6" ht="14.25" customHeight="1">
      <c r="B388" s="20"/>
      <c r="D388" s="27"/>
      <c r="F388" s="18"/>
    </row>
    <row r="389" spans="1:6" ht="14.25" customHeight="1">
      <c r="B389" s="20"/>
      <c r="D389" s="27"/>
      <c r="F389" s="18"/>
    </row>
    <row r="390" spans="1:6" ht="14.25" customHeight="1">
      <c r="B390" s="20"/>
      <c r="D390" s="27"/>
      <c r="F390" s="18"/>
    </row>
    <row r="391" spans="1:6" ht="14.25" customHeight="1">
      <c r="B391" s="20"/>
      <c r="D391" s="27"/>
      <c r="F391" s="18"/>
    </row>
    <row r="392" spans="1:6" ht="14.25" customHeight="1">
      <c r="B392" s="20"/>
      <c r="D392" s="27"/>
      <c r="F392" s="18"/>
    </row>
    <row r="393" spans="1:6" ht="14.25" customHeight="1">
      <c r="B393" s="20"/>
      <c r="D393" s="27"/>
      <c r="F393" s="18"/>
    </row>
    <row r="394" spans="1:6" ht="14.25" customHeight="1">
      <c r="B394" s="20"/>
      <c r="D394" s="27"/>
      <c r="F394" s="18"/>
    </row>
    <row r="395" spans="1:6" ht="14.25" customHeight="1">
      <c r="B395" s="20"/>
      <c r="D395" s="27"/>
      <c r="F395" s="18"/>
    </row>
    <row r="396" spans="1:6" ht="14.25" customHeight="1">
      <c r="B396" s="20"/>
      <c r="D396" s="27"/>
      <c r="F396" s="18"/>
    </row>
    <row r="397" spans="1:6" ht="14.25" customHeight="1">
      <c r="B397" s="20"/>
      <c r="D397" s="27"/>
      <c r="F397" s="18"/>
    </row>
    <row r="398" spans="1:6" ht="14.25" customHeight="1">
      <c r="B398" s="20"/>
      <c r="D398" s="27"/>
      <c r="F398" s="18"/>
    </row>
    <row r="399" spans="1:6" ht="14.25" customHeight="1">
      <c r="B399" s="20"/>
      <c r="D399" s="27"/>
      <c r="F399" s="18"/>
    </row>
    <row r="400" spans="1:6" ht="14.25" customHeight="1">
      <c r="B400" s="20"/>
      <c r="D400" s="27"/>
      <c r="F400" s="18"/>
    </row>
    <row r="401" spans="2:6" ht="14.25" customHeight="1">
      <c r="B401" s="20"/>
      <c r="D401" s="27"/>
      <c r="F401" s="18"/>
    </row>
    <row r="402" spans="2:6" ht="14.25" customHeight="1">
      <c r="B402" s="20"/>
      <c r="D402" s="27"/>
      <c r="F402" s="18"/>
    </row>
    <row r="403" spans="2:6" ht="14.25" customHeight="1">
      <c r="B403" s="20"/>
      <c r="D403" s="27"/>
      <c r="F403" s="18"/>
    </row>
    <row r="404" spans="2:6" ht="14.25" customHeight="1">
      <c r="B404" s="20"/>
      <c r="D404" s="27"/>
      <c r="F404" s="18"/>
    </row>
    <row r="405" spans="2:6" ht="14.25" customHeight="1">
      <c r="B405" s="20"/>
      <c r="D405" s="27"/>
      <c r="F405" s="18"/>
    </row>
    <row r="406" spans="2:6" ht="14.25" customHeight="1">
      <c r="B406" s="20"/>
      <c r="D406" s="27"/>
      <c r="F406" s="18"/>
    </row>
    <row r="407" spans="2:6" ht="14.25" customHeight="1">
      <c r="B407" s="20"/>
      <c r="D407" s="27"/>
      <c r="F407" s="18"/>
    </row>
    <row r="408" spans="2:6" ht="14.25" customHeight="1">
      <c r="B408" s="20"/>
      <c r="D408" s="27"/>
      <c r="F408" s="18"/>
    </row>
    <row r="409" spans="2:6" ht="14.25" customHeight="1">
      <c r="B409" s="20"/>
      <c r="D409" s="27"/>
      <c r="F409" s="18"/>
    </row>
    <row r="410" spans="2:6" ht="14.25" customHeight="1">
      <c r="B410" s="20"/>
      <c r="D410" s="27"/>
      <c r="F410" s="18"/>
    </row>
    <row r="411" spans="2:6" ht="14.25" customHeight="1">
      <c r="B411" s="20"/>
      <c r="D411" s="27"/>
      <c r="F411" s="18"/>
    </row>
    <row r="412" spans="2:6" ht="14.25" customHeight="1">
      <c r="B412" s="20"/>
      <c r="D412" s="27"/>
      <c r="F412" s="18"/>
    </row>
    <row r="413" spans="2:6" ht="14.25" customHeight="1">
      <c r="B413" s="20"/>
      <c r="D413" s="27"/>
      <c r="F413" s="18"/>
    </row>
    <row r="414" spans="2:6" ht="14.25" customHeight="1">
      <c r="B414" s="20"/>
      <c r="D414" s="27"/>
      <c r="F414" s="18"/>
    </row>
    <row r="415" spans="2:6" ht="14.25" customHeight="1">
      <c r="B415" s="20"/>
      <c r="D415" s="27"/>
      <c r="F415" s="18"/>
    </row>
    <row r="416" spans="2:6" ht="14.25" customHeight="1">
      <c r="B416" s="20"/>
      <c r="D416" s="27"/>
      <c r="F416" s="18"/>
    </row>
    <row r="417" spans="2:6" ht="14.25" customHeight="1">
      <c r="B417" s="20"/>
      <c r="D417" s="27"/>
      <c r="F417" s="18"/>
    </row>
    <row r="418" spans="2:6" ht="14.25" customHeight="1">
      <c r="B418" s="20"/>
      <c r="D418" s="27"/>
      <c r="F418" s="18"/>
    </row>
    <row r="419" spans="2:6" ht="14.25" customHeight="1">
      <c r="B419" s="20"/>
      <c r="D419" s="27"/>
      <c r="F419" s="18"/>
    </row>
    <row r="420" spans="2:6" ht="14.25" customHeight="1">
      <c r="B420" s="20"/>
      <c r="D420" s="27"/>
      <c r="F420" s="18"/>
    </row>
    <row r="421" spans="2:6" ht="14.25" customHeight="1">
      <c r="B421" s="20"/>
      <c r="D421" s="27"/>
      <c r="F421" s="18"/>
    </row>
    <row r="422" spans="2:6" ht="14.25" customHeight="1">
      <c r="B422" s="20"/>
      <c r="D422" s="27"/>
      <c r="F422" s="18"/>
    </row>
    <row r="423" spans="2:6" ht="14.25" customHeight="1">
      <c r="B423" s="20"/>
      <c r="D423" s="27"/>
      <c r="F423" s="18"/>
    </row>
    <row r="424" spans="2:6" ht="14.25" customHeight="1">
      <c r="B424" s="20"/>
      <c r="D424" s="27"/>
      <c r="F424" s="18"/>
    </row>
    <row r="425" spans="2:6" ht="14.25" customHeight="1">
      <c r="B425" s="20"/>
      <c r="D425" s="27"/>
      <c r="F425" s="18"/>
    </row>
    <row r="426" spans="2:6" ht="14.25" customHeight="1">
      <c r="B426" s="20"/>
      <c r="D426" s="27"/>
      <c r="F426" s="18"/>
    </row>
    <row r="427" spans="2:6" ht="14.25" customHeight="1">
      <c r="B427" s="20"/>
      <c r="D427" s="27"/>
    </row>
    <row r="428" spans="2:6" ht="14.25" customHeight="1">
      <c r="B428" s="20"/>
      <c r="D428" s="27"/>
    </row>
    <row r="429" spans="2:6" ht="14.25" customHeight="1">
      <c r="B429" s="20"/>
      <c r="D429" s="27"/>
    </row>
    <row r="430" spans="2:6" ht="14.25" customHeight="1">
      <c r="B430" s="20"/>
      <c r="D430" s="27"/>
    </row>
    <row r="431" spans="2:6" ht="14.25" customHeight="1">
      <c r="B431" s="20"/>
      <c r="D431" s="27"/>
    </row>
    <row r="432" spans="2:6" ht="14.25" customHeight="1">
      <c r="B432" s="20"/>
      <c r="D432" s="27"/>
    </row>
    <row r="433" spans="2:4" ht="14.25" customHeight="1">
      <c r="B433" s="20"/>
      <c r="D433" s="27"/>
    </row>
    <row r="434" spans="2:4" ht="14.25" customHeight="1">
      <c r="B434" s="20"/>
      <c r="D434" s="27"/>
    </row>
    <row r="435" spans="2:4" ht="14.25" customHeight="1">
      <c r="B435" s="20"/>
      <c r="D435" s="27"/>
    </row>
    <row r="436" spans="2:4" ht="14.25" customHeight="1">
      <c r="B436" s="20"/>
      <c r="D436" s="27"/>
    </row>
    <row r="437" spans="2:4" ht="14.25" customHeight="1">
      <c r="B437" s="20"/>
      <c r="D437" s="27"/>
    </row>
    <row r="438" spans="2:4" ht="14.25" customHeight="1">
      <c r="B438" s="20"/>
      <c r="D438" s="27"/>
    </row>
    <row r="439" spans="2:4" ht="14.25" customHeight="1">
      <c r="B439" s="20"/>
      <c r="D439" s="27"/>
    </row>
    <row r="440" spans="2:4" ht="14.25" customHeight="1">
      <c r="B440" s="20"/>
      <c r="D440" s="27"/>
    </row>
    <row r="441" spans="2:4" ht="14.25" customHeight="1">
      <c r="B441" s="20"/>
      <c r="D441" s="27"/>
    </row>
    <row r="442" spans="2:4" ht="14.25" customHeight="1">
      <c r="B442" s="20"/>
      <c r="D442" s="27"/>
    </row>
    <row r="443" spans="2:4" ht="14.25" customHeight="1">
      <c r="B443" s="20"/>
      <c r="D443" s="27"/>
    </row>
    <row r="444" spans="2:4" ht="14.25" customHeight="1">
      <c r="B444" s="20"/>
      <c r="D444" s="27"/>
    </row>
    <row r="445" spans="2:4" ht="14.25" customHeight="1">
      <c r="B445" s="20"/>
      <c r="D445" s="27"/>
    </row>
    <row r="446" spans="2:4" ht="14.25" customHeight="1">
      <c r="B446" s="20"/>
      <c r="D446" s="27"/>
    </row>
  </sheetData>
  <phoneticPr fontId="10" type="noConversion"/>
  <dataValidations count="1">
    <dataValidation type="list" allowBlank="1" sqref="G2:G1000" xr:uid="{00000000-0002-0000-0100-000000000000}">
      <formula1>"核心开发,单元测试,方案评审,硬件调试,需求分析,性能调优,数据分析,例会/沟通,接口开发,文档编写,其它"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Weekly_Summary</vt:lpstr>
      <vt:lpstr>Worklog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 ...</cp:lastModifiedBy>
  <dcterms:created xsi:type="dcterms:W3CDTF">2026-07-31T06:34:00Z</dcterms:created>
  <dcterms:modified xsi:type="dcterms:W3CDTF">2026-07-31T18:20:09Z</dcterms:modified>
</cp:coreProperties>
</file>